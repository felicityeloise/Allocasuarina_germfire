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_germ/"/>
    </mc:Choice>
  </mc:AlternateContent>
  <xr:revisionPtr revIDLastSave="298" documentId="8_{21BA681D-65BD-1348-B5D8-4BA6E8BC1E7D}" xr6:coauthVersionLast="47" xr6:coauthVersionMax="47" xr10:uidLastSave="{63EF782C-D423-3140-8068-A02A1E8375EC}"/>
  <bookViews>
    <workbookView xWindow="0" yWindow="500" windowWidth="28800" windowHeight="15720" activeTab="2" xr2:uid="{D787752A-2EF4-4C1F-98F1-137D096492FA}"/>
  </bookViews>
  <sheets>
    <sheet name="Littoralis_S2" sheetId="1" r:id="rId1"/>
    <sheet name="Torulosa_lowfire_S2" sheetId="2" r:id="rId2"/>
    <sheet name="Torulosa_highfire_S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7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I3" i="1"/>
  <c r="I4" i="1"/>
  <c r="F4" i="1" s="1"/>
  <c r="I5" i="1"/>
  <c r="F5" i="1" s="1"/>
  <c r="I6" i="1"/>
  <c r="F6" i="1" s="1"/>
  <c r="I7" i="1"/>
  <c r="I8" i="1"/>
  <c r="F8" i="1" s="1"/>
  <c r="I9" i="1"/>
  <c r="F9" i="1" s="1"/>
  <c r="I10" i="1"/>
  <c r="F10" i="1" s="1"/>
  <c r="I11" i="1"/>
  <c r="I12" i="1"/>
  <c r="F12" i="1" s="1"/>
  <c r="I13" i="1"/>
  <c r="F13" i="1" s="1"/>
  <c r="I14" i="1"/>
  <c r="F14" i="1" s="1"/>
  <c r="I15" i="1"/>
  <c r="I16" i="1"/>
  <c r="F16" i="1" s="1"/>
  <c r="I17" i="1"/>
  <c r="F17" i="1" s="1"/>
  <c r="I18" i="1"/>
  <c r="F18" i="1" s="1"/>
  <c r="I19" i="1"/>
  <c r="I20" i="1"/>
  <c r="F20" i="1" s="1"/>
  <c r="I21" i="1"/>
  <c r="F21" i="1" s="1"/>
  <c r="I22" i="1"/>
  <c r="F22" i="1" s="1"/>
  <c r="I23" i="1"/>
  <c r="I24" i="1"/>
  <c r="F24" i="1" s="1"/>
  <c r="I25" i="1"/>
  <c r="F25" i="1" s="1"/>
  <c r="I26" i="1"/>
  <c r="F26" i="1" s="1"/>
  <c r="I27" i="1"/>
  <c r="I28" i="1"/>
  <c r="F28" i="1" s="1"/>
  <c r="I29" i="1"/>
  <c r="F29" i="1" s="1"/>
  <c r="I30" i="1"/>
  <c r="F30" i="1" s="1"/>
  <c r="I31" i="1"/>
  <c r="I32" i="1"/>
  <c r="F32" i="1" s="1"/>
  <c r="I33" i="1"/>
  <c r="F33" i="1" s="1"/>
  <c r="I34" i="1"/>
  <c r="F34" i="1" s="1"/>
  <c r="I35" i="1"/>
  <c r="I36" i="1"/>
  <c r="F36" i="1" s="1"/>
  <c r="I37" i="1"/>
  <c r="F37" i="1" s="1"/>
  <c r="I38" i="1"/>
  <c r="F38" i="1" s="1"/>
  <c r="I39" i="1"/>
  <c r="I40" i="1"/>
  <c r="F40" i="1" s="1"/>
  <c r="I41" i="1"/>
  <c r="F41" i="1" s="1"/>
  <c r="I42" i="1"/>
  <c r="F42" i="1" s="1"/>
  <c r="I43" i="1"/>
  <c r="I44" i="1"/>
  <c r="F44" i="1" s="1"/>
  <c r="I45" i="1"/>
  <c r="F45" i="1" s="1"/>
  <c r="I46" i="1"/>
  <c r="F46" i="1" s="1"/>
  <c r="I47" i="1"/>
  <c r="I48" i="1"/>
  <c r="F48" i="1" s="1"/>
  <c r="I49" i="1"/>
  <c r="F49" i="1" s="1"/>
  <c r="I50" i="1"/>
  <c r="F50" i="1" s="1"/>
  <c r="I51" i="1"/>
  <c r="I52" i="1"/>
  <c r="F52" i="1" s="1"/>
  <c r="I53" i="1"/>
  <c r="F53" i="1" s="1"/>
  <c r="I54" i="1"/>
  <c r="F54" i="1" s="1"/>
  <c r="I55" i="1"/>
  <c r="I56" i="1"/>
  <c r="F56" i="1" s="1"/>
  <c r="I57" i="1"/>
  <c r="F57" i="1" s="1"/>
  <c r="I58" i="1"/>
  <c r="F58" i="1" s="1"/>
  <c r="I59" i="1"/>
  <c r="I60" i="1"/>
  <c r="F60" i="1" s="1"/>
  <c r="I61" i="1"/>
  <c r="F61" i="1" s="1"/>
  <c r="I62" i="1"/>
  <c r="F62" i="1" s="1"/>
  <c r="I63" i="1"/>
  <c r="I64" i="1"/>
  <c r="F64" i="1" s="1"/>
  <c r="I65" i="1"/>
  <c r="F65" i="1" s="1"/>
  <c r="I66" i="1"/>
  <c r="F66" i="1" s="1"/>
  <c r="I67" i="1"/>
  <c r="I68" i="1"/>
  <c r="F68" i="1" s="1"/>
  <c r="I69" i="1"/>
  <c r="F69" i="1" s="1"/>
  <c r="I70" i="1"/>
  <c r="F70" i="1" s="1"/>
  <c r="I71" i="1"/>
  <c r="I72" i="1"/>
  <c r="F72" i="1" s="1"/>
  <c r="I73" i="1"/>
  <c r="F73" i="1" s="1"/>
  <c r="I74" i="1"/>
  <c r="F74" i="1" s="1"/>
  <c r="I75" i="1"/>
  <c r="I76" i="1"/>
  <c r="F76" i="1" s="1"/>
  <c r="I77" i="1"/>
  <c r="F77" i="1" s="1"/>
  <c r="I78" i="1"/>
  <c r="F78" i="1" s="1"/>
  <c r="I79" i="1"/>
  <c r="I80" i="1"/>
  <c r="F80" i="1" s="1"/>
  <c r="I81" i="1"/>
  <c r="F81" i="1" s="1"/>
  <c r="I82" i="1"/>
  <c r="F82" i="1" s="1"/>
  <c r="I83" i="1"/>
  <c r="I84" i="1"/>
  <c r="F84" i="1" s="1"/>
  <c r="I85" i="1"/>
  <c r="F85" i="1" s="1"/>
  <c r="I86" i="1"/>
  <c r="F86" i="1" s="1"/>
  <c r="I87" i="1"/>
  <c r="I88" i="1"/>
  <c r="F88" i="1" s="1"/>
  <c r="I89" i="1"/>
  <c r="F89" i="1" s="1"/>
  <c r="I90" i="1"/>
  <c r="F90" i="1" s="1"/>
  <c r="I91" i="1"/>
  <c r="I2" i="1"/>
  <c r="F2" i="1" s="1"/>
  <c r="H3" i="3" l="1"/>
  <c r="E3" i="3" s="1"/>
  <c r="H4" i="3"/>
  <c r="E4" i="3" s="1"/>
  <c r="H5" i="3"/>
  <c r="E5" i="3" s="1"/>
  <c r="H6" i="3"/>
  <c r="E6" i="3" s="1"/>
  <c r="H7" i="3"/>
  <c r="E7" i="3" s="1"/>
  <c r="H8" i="3"/>
  <c r="E8" i="3" s="1"/>
  <c r="H9" i="3"/>
  <c r="E9" i="3" s="1"/>
  <c r="H10" i="3"/>
  <c r="E10" i="3" s="1"/>
  <c r="H11" i="3"/>
  <c r="E11" i="3" s="1"/>
  <c r="H12" i="3"/>
  <c r="E12" i="3" s="1"/>
  <c r="H13" i="3"/>
  <c r="E13" i="3" s="1"/>
  <c r="H14" i="3"/>
  <c r="E14" i="3" s="1"/>
  <c r="H15" i="3"/>
  <c r="E15" i="3" s="1"/>
  <c r="H16" i="3"/>
  <c r="E16" i="3" s="1"/>
  <c r="H17" i="3"/>
  <c r="E17" i="3" s="1"/>
  <c r="H18" i="3"/>
  <c r="E18" i="3" s="1"/>
  <c r="H19" i="3"/>
  <c r="E19" i="3" s="1"/>
  <c r="H20" i="3"/>
  <c r="E20" i="3" s="1"/>
  <c r="H21" i="3"/>
  <c r="E21" i="3" s="1"/>
  <c r="H22" i="3"/>
  <c r="E22" i="3" s="1"/>
  <c r="H23" i="3"/>
  <c r="E23" i="3" s="1"/>
  <c r="H24" i="3"/>
  <c r="E24" i="3" s="1"/>
  <c r="H25" i="3"/>
  <c r="E25" i="3" s="1"/>
  <c r="H26" i="3"/>
  <c r="E26" i="3" s="1"/>
  <c r="H27" i="3"/>
  <c r="E27" i="3" s="1"/>
  <c r="H28" i="3"/>
  <c r="E28" i="3" s="1"/>
  <c r="H29" i="3"/>
  <c r="E29" i="3" s="1"/>
  <c r="H30" i="3"/>
  <c r="E30" i="3" s="1"/>
  <c r="H31" i="3"/>
  <c r="E31" i="3" s="1"/>
  <c r="H32" i="3"/>
  <c r="E32" i="3" s="1"/>
  <c r="H33" i="3"/>
  <c r="E33" i="3" s="1"/>
  <c r="H34" i="3"/>
  <c r="E34" i="3" s="1"/>
  <c r="H35" i="3"/>
  <c r="E35" i="3" s="1"/>
  <c r="H36" i="3"/>
  <c r="E36" i="3" s="1"/>
  <c r="H37" i="3"/>
  <c r="E37" i="3" s="1"/>
  <c r="H38" i="3"/>
  <c r="E38" i="3" s="1"/>
  <c r="H39" i="3"/>
  <c r="E39" i="3" s="1"/>
  <c r="H40" i="3"/>
  <c r="E40" i="3" s="1"/>
  <c r="H41" i="3"/>
  <c r="E41" i="3" s="1"/>
  <c r="H42" i="3"/>
  <c r="E42" i="3" s="1"/>
  <c r="H43" i="3"/>
  <c r="E43" i="3" s="1"/>
  <c r="H44" i="3"/>
  <c r="E44" i="3" s="1"/>
  <c r="H45" i="3"/>
  <c r="E45" i="3" s="1"/>
  <c r="H46" i="3"/>
  <c r="E46" i="3" s="1"/>
  <c r="H47" i="3"/>
  <c r="E47" i="3" s="1"/>
  <c r="H48" i="3"/>
  <c r="E48" i="3" s="1"/>
  <c r="H49" i="3"/>
  <c r="E49" i="3" s="1"/>
  <c r="H50" i="3"/>
  <c r="E50" i="3" s="1"/>
  <c r="H51" i="3"/>
  <c r="E51" i="3" s="1"/>
  <c r="H52" i="3"/>
  <c r="E52" i="3" s="1"/>
  <c r="H53" i="3"/>
  <c r="E53" i="3" s="1"/>
  <c r="H54" i="3"/>
  <c r="E54" i="3" s="1"/>
  <c r="H55" i="3"/>
  <c r="E55" i="3" s="1"/>
  <c r="H56" i="3"/>
  <c r="E56" i="3" s="1"/>
  <c r="H57" i="3"/>
  <c r="E57" i="3" s="1"/>
  <c r="H58" i="3"/>
  <c r="E58" i="3" s="1"/>
  <c r="H59" i="3"/>
  <c r="E59" i="3" s="1"/>
  <c r="H60" i="3"/>
  <c r="E60" i="3" s="1"/>
  <c r="H61" i="3"/>
  <c r="E61" i="3" s="1"/>
  <c r="H62" i="3"/>
  <c r="E62" i="3" s="1"/>
  <c r="H63" i="3"/>
  <c r="E63" i="3" s="1"/>
  <c r="H64" i="3"/>
  <c r="E64" i="3" s="1"/>
  <c r="H65" i="3"/>
  <c r="E65" i="3" s="1"/>
  <c r="H66" i="3"/>
  <c r="E66" i="3" s="1"/>
  <c r="H67" i="3"/>
  <c r="E67" i="3" s="1"/>
  <c r="H68" i="3"/>
  <c r="E68" i="3" s="1"/>
  <c r="H69" i="3"/>
  <c r="E69" i="3" s="1"/>
  <c r="H70" i="3"/>
  <c r="E70" i="3" s="1"/>
  <c r="H71" i="3"/>
  <c r="E71" i="3" s="1"/>
  <c r="H72" i="3"/>
  <c r="E72" i="3" s="1"/>
  <c r="H73" i="3"/>
  <c r="E73" i="3" s="1"/>
  <c r="H74" i="3"/>
  <c r="E74" i="3" s="1"/>
  <c r="H75" i="3"/>
  <c r="E75" i="3" s="1"/>
  <c r="H76" i="3"/>
  <c r="E76" i="3" s="1"/>
  <c r="H77" i="3"/>
  <c r="E77" i="3" s="1"/>
  <c r="H78" i="3"/>
  <c r="E78" i="3" s="1"/>
  <c r="H79" i="3"/>
  <c r="E79" i="3" s="1"/>
  <c r="H80" i="3"/>
  <c r="E80" i="3" s="1"/>
  <c r="H81" i="3"/>
  <c r="E81" i="3" s="1"/>
  <c r="H82" i="3"/>
  <c r="E82" i="3" s="1"/>
  <c r="H83" i="3"/>
  <c r="E83" i="3" s="1"/>
  <c r="H84" i="3"/>
  <c r="E84" i="3" s="1"/>
  <c r="H85" i="3"/>
  <c r="E85" i="3" s="1"/>
  <c r="H86" i="3"/>
  <c r="E86" i="3" s="1"/>
  <c r="H87" i="3"/>
  <c r="E87" i="3" s="1"/>
  <c r="H88" i="3"/>
  <c r="E88" i="3" s="1"/>
  <c r="H89" i="3"/>
  <c r="E89" i="3" s="1"/>
  <c r="H90" i="3"/>
  <c r="E90" i="3" s="1"/>
  <c r="H91" i="3"/>
  <c r="E91" i="3" s="1"/>
  <c r="H2" i="3"/>
  <c r="E2" i="3" s="1"/>
  <c r="H3" i="2"/>
  <c r="E3" i="2" s="1"/>
  <c r="H4" i="2"/>
  <c r="E4" i="2" s="1"/>
  <c r="H5" i="2"/>
  <c r="E5" i="2" s="1"/>
  <c r="H6" i="2"/>
  <c r="E6" i="2" s="1"/>
  <c r="H7" i="2"/>
  <c r="E7" i="2" s="1"/>
  <c r="H8" i="2"/>
  <c r="E8" i="2" s="1"/>
  <c r="H9" i="2"/>
  <c r="E9" i="2" s="1"/>
  <c r="H10" i="2"/>
  <c r="E10" i="2" s="1"/>
  <c r="H11" i="2"/>
  <c r="E11" i="2" s="1"/>
  <c r="H12" i="2"/>
  <c r="E12" i="2" s="1"/>
  <c r="H13" i="2"/>
  <c r="E13" i="2" s="1"/>
  <c r="H14" i="2"/>
  <c r="E14" i="2" s="1"/>
  <c r="H15" i="2"/>
  <c r="E15" i="2" s="1"/>
  <c r="H16" i="2"/>
  <c r="E16" i="2" s="1"/>
  <c r="H17" i="2"/>
  <c r="E17" i="2" s="1"/>
  <c r="H18" i="2"/>
  <c r="E18" i="2" s="1"/>
  <c r="H19" i="2"/>
  <c r="E19" i="2" s="1"/>
  <c r="H20" i="2"/>
  <c r="E20" i="2" s="1"/>
  <c r="H21" i="2"/>
  <c r="E21" i="2" s="1"/>
  <c r="H22" i="2"/>
  <c r="E22" i="2" s="1"/>
  <c r="H23" i="2"/>
  <c r="E23" i="2" s="1"/>
  <c r="H24" i="2"/>
  <c r="E24" i="2" s="1"/>
  <c r="H25" i="2"/>
  <c r="E25" i="2" s="1"/>
  <c r="H26" i="2"/>
  <c r="E26" i="2" s="1"/>
  <c r="H27" i="2"/>
  <c r="E27" i="2" s="1"/>
  <c r="H28" i="2"/>
  <c r="E28" i="2" s="1"/>
  <c r="H29" i="2"/>
  <c r="E29" i="2" s="1"/>
  <c r="H30" i="2"/>
  <c r="E30" i="2" s="1"/>
  <c r="H31" i="2"/>
  <c r="E31" i="2" s="1"/>
  <c r="H32" i="2"/>
  <c r="E32" i="2" s="1"/>
  <c r="H33" i="2"/>
  <c r="E33" i="2" s="1"/>
  <c r="H34" i="2"/>
  <c r="E34" i="2" s="1"/>
  <c r="H35" i="2"/>
  <c r="E35" i="2" s="1"/>
  <c r="H36" i="2"/>
  <c r="E36" i="2" s="1"/>
  <c r="H37" i="2"/>
  <c r="E37" i="2" s="1"/>
  <c r="H38" i="2"/>
  <c r="E38" i="2" s="1"/>
  <c r="H39" i="2"/>
  <c r="E39" i="2" s="1"/>
  <c r="H40" i="2"/>
  <c r="E40" i="2" s="1"/>
  <c r="H41" i="2"/>
  <c r="E41" i="2" s="1"/>
  <c r="H42" i="2"/>
  <c r="E42" i="2" s="1"/>
  <c r="H43" i="2"/>
  <c r="E43" i="2" s="1"/>
  <c r="H44" i="2"/>
  <c r="E44" i="2" s="1"/>
  <c r="H45" i="2"/>
  <c r="E45" i="2" s="1"/>
  <c r="H46" i="2"/>
  <c r="E46" i="2" s="1"/>
  <c r="H47" i="2"/>
  <c r="E47" i="2" s="1"/>
  <c r="H48" i="2"/>
  <c r="E48" i="2" s="1"/>
  <c r="H49" i="2"/>
  <c r="E49" i="2" s="1"/>
  <c r="H50" i="2"/>
  <c r="E50" i="2" s="1"/>
  <c r="H51" i="2"/>
  <c r="E51" i="2" s="1"/>
  <c r="H52" i="2"/>
  <c r="E52" i="2" s="1"/>
  <c r="H53" i="2"/>
  <c r="E53" i="2" s="1"/>
  <c r="H54" i="2"/>
  <c r="E54" i="2" s="1"/>
  <c r="H55" i="2"/>
  <c r="E55" i="2" s="1"/>
  <c r="H56" i="2"/>
  <c r="E56" i="2" s="1"/>
  <c r="H57" i="2"/>
  <c r="E57" i="2" s="1"/>
  <c r="H58" i="2"/>
  <c r="E58" i="2" s="1"/>
  <c r="H59" i="2"/>
  <c r="E59" i="2" s="1"/>
  <c r="H60" i="2"/>
  <c r="E60" i="2" s="1"/>
  <c r="H61" i="2"/>
  <c r="E61" i="2" s="1"/>
  <c r="H62" i="2"/>
  <c r="E62" i="2" s="1"/>
  <c r="H63" i="2"/>
  <c r="E63" i="2" s="1"/>
  <c r="H64" i="2"/>
  <c r="E64" i="2" s="1"/>
  <c r="H65" i="2"/>
  <c r="E65" i="2" s="1"/>
  <c r="H66" i="2"/>
  <c r="E66" i="2" s="1"/>
  <c r="H67" i="2"/>
  <c r="E67" i="2" s="1"/>
  <c r="H68" i="2"/>
  <c r="E68" i="2" s="1"/>
  <c r="H69" i="2"/>
  <c r="E69" i="2" s="1"/>
  <c r="H70" i="2"/>
  <c r="E70" i="2" s="1"/>
  <c r="H71" i="2"/>
  <c r="E71" i="2" s="1"/>
  <c r="H72" i="2"/>
  <c r="E72" i="2" s="1"/>
  <c r="H73" i="2"/>
  <c r="E73" i="2" s="1"/>
  <c r="H74" i="2"/>
  <c r="E74" i="2" s="1"/>
  <c r="H75" i="2"/>
  <c r="E75" i="2" s="1"/>
  <c r="H76" i="2"/>
  <c r="E76" i="2" s="1"/>
  <c r="H77" i="2"/>
  <c r="E77" i="2" s="1"/>
  <c r="H78" i="2"/>
  <c r="E78" i="2" s="1"/>
  <c r="H79" i="2"/>
  <c r="E79" i="2" s="1"/>
  <c r="H80" i="2"/>
  <c r="E80" i="2" s="1"/>
  <c r="H81" i="2"/>
  <c r="E81" i="2" s="1"/>
  <c r="H82" i="2"/>
  <c r="E82" i="2" s="1"/>
  <c r="H83" i="2"/>
  <c r="E83" i="2" s="1"/>
  <c r="H84" i="2"/>
  <c r="E84" i="2" s="1"/>
  <c r="H85" i="2"/>
  <c r="E85" i="2" s="1"/>
  <c r="H86" i="2"/>
  <c r="E86" i="2" s="1"/>
  <c r="H87" i="2"/>
  <c r="E87" i="2" s="1"/>
  <c r="H88" i="2"/>
  <c r="E88" i="2" s="1"/>
  <c r="H89" i="2"/>
  <c r="E89" i="2" s="1"/>
  <c r="H90" i="2"/>
  <c r="E90" i="2" s="1"/>
  <c r="H91" i="2"/>
  <c r="E91" i="2" s="1"/>
  <c r="H2" i="2"/>
  <c r="E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03CB4-23A5-471B-8F54-6BD44E8AE7F1}" keepAlive="1" name="Query - Viability" description="Connection to the 'Viability' query in the workbook." type="5" refreshedVersion="8" background="1" saveData="1">
    <dbPr connection="Provider=Microsoft.Mashup.OleDb.1;Data Source=$Workbook$;Location=Viability;Extended Properties=&quot;&quot;" command="SELECT * FROM [Viability]"/>
  </connection>
</connections>
</file>

<file path=xl/sharedStrings.xml><?xml version="1.0" encoding="utf-8"?>
<sst xmlns="http://schemas.openxmlformats.org/spreadsheetml/2006/main" count="1020" uniqueCount="189">
  <si>
    <t>Species</t>
  </si>
  <si>
    <t>Seed_lot</t>
  </si>
  <si>
    <t>Treatment</t>
  </si>
  <si>
    <t>littoralis</t>
  </si>
  <si>
    <t>Control</t>
  </si>
  <si>
    <t>Set</t>
  </si>
  <si>
    <t>80°C</t>
  </si>
  <si>
    <t>95°C</t>
  </si>
  <si>
    <t>Smoke</t>
  </si>
  <si>
    <t>80°C+smoke</t>
  </si>
  <si>
    <t>95°C+smoke</t>
  </si>
  <si>
    <t>WPS91</t>
  </si>
  <si>
    <t>WPS135</t>
  </si>
  <si>
    <t>WPS142</t>
  </si>
  <si>
    <t>WPS87</t>
  </si>
  <si>
    <t>WPS93</t>
  </si>
  <si>
    <t>WPS94</t>
  </si>
  <si>
    <t>WPS96</t>
  </si>
  <si>
    <t>WPS108</t>
  </si>
  <si>
    <t>WPS109</t>
  </si>
  <si>
    <t>WPS139</t>
  </si>
  <si>
    <t>WPS144</t>
  </si>
  <si>
    <t>WPS154</t>
  </si>
  <si>
    <t>WPS152</t>
  </si>
  <si>
    <t>WPS127</t>
  </si>
  <si>
    <t>WPS128</t>
  </si>
  <si>
    <t>WPS89</t>
  </si>
  <si>
    <t>WPS90</t>
  </si>
  <si>
    <t>WPS92</t>
  </si>
  <si>
    <t>WPS107</t>
  </si>
  <si>
    <t>WPS111</t>
  </si>
  <si>
    <t>WPS137</t>
  </si>
  <si>
    <t>WPS140</t>
  </si>
  <si>
    <t>WPS141</t>
  </si>
  <si>
    <t>WPS156</t>
  </si>
  <si>
    <t>WPS169</t>
  </si>
  <si>
    <t>WPS88</t>
  </si>
  <si>
    <t>WPS95</t>
  </si>
  <si>
    <t>WPS110</t>
  </si>
  <si>
    <t>WPS129</t>
  </si>
  <si>
    <t>WPS136</t>
  </si>
  <si>
    <t>WPS143</t>
  </si>
  <si>
    <t>WPS145</t>
  </si>
  <si>
    <t>WPS153</t>
  </si>
  <si>
    <t>WPS171</t>
  </si>
  <si>
    <t>WPS157</t>
  </si>
  <si>
    <t>WPS3</t>
  </si>
  <si>
    <t>WPS151</t>
  </si>
  <si>
    <t>torulosa_lowfire</t>
  </si>
  <si>
    <t>torulosa_highfire</t>
  </si>
  <si>
    <t>WPS57</t>
  </si>
  <si>
    <t>WPS62</t>
  </si>
  <si>
    <t>WPS63</t>
  </si>
  <si>
    <t>WPS64</t>
  </si>
  <si>
    <t>WPS65</t>
  </si>
  <si>
    <t>WPS84</t>
  </si>
  <si>
    <t>WPS122</t>
  </si>
  <si>
    <t>WPS130</t>
  </si>
  <si>
    <t>WPS150</t>
  </si>
  <si>
    <t>WPS170</t>
  </si>
  <si>
    <t>WPS172</t>
  </si>
  <si>
    <t>WPS174</t>
  </si>
  <si>
    <t>WPS196</t>
  </si>
  <si>
    <t>WPS197</t>
  </si>
  <si>
    <t>WPS201</t>
  </si>
  <si>
    <t>WPS60</t>
  </si>
  <si>
    <t>WPS78</t>
  </si>
  <si>
    <t>WPS83</t>
  </si>
  <si>
    <t>WPS113</t>
  </si>
  <si>
    <t>WPS146</t>
  </si>
  <si>
    <t>WPS147</t>
  </si>
  <si>
    <t>WPS187</t>
  </si>
  <si>
    <t>WPS195</t>
  </si>
  <si>
    <t>WPS58</t>
  </si>
  <si>
    <t>WPS75</t>
  </si>
  <si>
    <t>WPS82</t>
  </si>
  <si>
    <t>WPS123</t>
  </si>
  <si>
    <t>WPS138</t>
  </si>
  <si>
    <t>WPS149</t>
  </si>
  <si>
    <t>WPS168</t>
  </si>
  <si>
    <t>WPS175</t>
  </si>
  <si>
    <t>WPS192</t>
  </si>
  <si>
    <t>WPS59</t>
  </si>
  <si>
    <t>WPS61</t>
  </si>
  <si>
    <t>WPS73</t>
  </si>
  <si>
    <t>WPS77</t>
  </si>
  <si>
    <t>WPS112</t>
  </si>
  <si>
    <t>WPS148</t>
  </si>
  <si>
    <t>WPS202</t>
  </si>
  <si>
    <t>WPS71</t>
  </si>
  <si>
    <t>WPS114</t>
  </si>
  <si>
    <t>WPS47</t>
  </si>
  <si>
    <t>WPS97</t>
  </si>
  <si>
    <t>WPS102</t>
  </si>
  <si>
    <t>WPS103</t>
  </si>
  <si>
    <t>WPS106</t>
  </si>
  <si>
    <t>WPS125</t>
  </si>
  <si>
    <t>WPS126</t>
  </si>
  <si>
    <t>WPS132</t>
  </si>
  <si>
    <t>WPS133</t>
  </si>
  <si>
    <t>WPS134</t>
  </si>
  <si>
    <t>WPS158</t>
  </si>
  <si>
    <t>WPS177</t>
  </si>
  <si>
    <t>WPS178</t>
  </si>
  <si>
    <t>WPS179</t>
  </si>
  <si>
    <t>WPS181</t>
  </si>
  <si>
    <t>WPS48</t>
  </si>
  <si>
    <t>WPS50</t>
  </si>
  <si>
    <t>WPS55</t>
  </si>
  <si>
    <t>WPS124</t>
  </si>
  <si>
    <t>WPS159</t>
  </si>
  <si>
    <t>WPS161</t>
  </si>
  <si>
    <t>WPS162</t>
  </si>
  <si>
    <t>WPS180</t>
  </si>
  <si>
    <t>WPS160</t>
  </si>
  <si>
    <t>WPS28</t>
  </si>
  <si>
    <t>WPS31</t>
  </si>
  <si>
    <t>WPS56</t>
  </si>
  <si>
    <t>WPS98</t>
  </si>
  <si>
    <t>WPS131</t>
  </si>
  <si>
    <t>WPS54</t>
  </si>
  <si>
    <t>Total_germinated</t>
  </si>
  <si>
    <t>No_germinated</t>
  </si>
  <si>
    <t>Total_germination</t>
  </si>
  <si>
    <t>TTC_num_viable</t>
  </si>
  <si>
    <t>X-ray_proportion_viable</t>
  </si>
  <si>
    <t>TTC_proportion_viable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</si>
  <si>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</si>
  <si>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</si>
  <si>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</si>
  <si>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</si>
  <si>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</si>
  <si>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</si>
  <si>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</si>
  <si>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</si>
  <si>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</si>
  <si>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</si>
  <si>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</si>
  <si>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</si>
  <si>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</si>
  <si>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</si>
  <si>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</si>
  <si>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</si>
  <si>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</si>
  <si>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</si>
  <si>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</si>
  <si>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</si>
  <si>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</si>
  <si>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</si>
  <si>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</si>
  <si>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</si>
  <si>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</si>
  <si>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</si>
  <si>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</si>
  <si>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</si>
  <si>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</si>
  <si>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</si>
  <si>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</si>
  <si>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</si>
  <si>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</si>
  <si>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</si>
  <si>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</si>
  <si>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</si>
  <si>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</si>
  <si>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</si>
  <si>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</si>
  <si>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</si>
  <si>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</si>
  <si>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</si>
  <si>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</si>
  <si>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</si>
  <si>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</si>
  <si>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</si>
  <si>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</si>
  <si>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</si>
  <si>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</si>
  <si>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</si>
  <si>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</si>
  <si>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</si>
  <si>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</si>
  <si>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</si>
  <si>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</si>
  <si>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</si>
  <si>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</si>
  <si>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</si>
  <si>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</si>
  <si>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</si>
  <si>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</si>
  <si>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Total_seeds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</si>
</sst>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3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F836-B4C2-45F5-9F05-523524D791DF}">
  <dimension ref="A1:BR91"/>
  <sheetViews>
    <sheetView zoomScale="114" workbookViewId="0">
      <selection activeCell="F3" sqref="F3"/>
    </sheetView>
  </sheetViews>
  <sheetFormatPr baseColWidth="10" defaultColWidth="8.83203125" defaultRowHeight="15" x14ac:dyDescent="0.2"/>
  <cols>
    <col min="1" max="1" width="11.1640625" bestFit="1" customWidth="1"/>
    <col min="5" max="6" width="14.5" customWidth="1"/>
    <col min="10" max="36" width="8.83203125" customWidth="1"/>
    <col min="37" max="37" width="8.83203125" style="2" customWidth="1"/>
  </cols>
  <sheetData>
    <row r="1" spans="1:70" s="1" customFormat="1" ht="48" x14ac:dyDescent="0.2">
      <c r="A1" s="5" t="s">
        <v>2</v>
      </c>
      <c r="B1" s="5" t="s">
        <v>5</v>
      </c>
      <c r="C1" s="5" t="s">
        <v>0</v>
      </c>
      <c r="D1" s="5" t="s">
        <v>1</v>
      </c>
      <c r="E1" s="6" t="s">
        <v>125</v>
      </c>
      <c r="F1" s="6" t="s">
        <v>126</v>
      </c>
      <c r="G1" s="6" t="s">
        <v>124</v>
      </c>
      <c r="H1" s="6" t="s">
        <v>188</v>
      </c>
      <c r="I1" s="6" t="s">
        <v>123</v>
      </c>
      <c r="J1" s="5" t="s">
        <v>127</v>
      </c>
      <c r="K1" s="5" t="s">
        <v>128</v>
      </c>
      <c r="L1" s="5" t="s">
        <v>129</v>
      </c>
      <c r="M1" s="5" t="s">
        <v>130</v>
      </c>
      <c r="N1" s="5" t="s">
        <v>131</v>
      </c>
      <c r="O1" s="5" t="s">
        <v>132</v>
      </c>
      <c r="P1" s="5" t="s">
        <v>133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138</v>
      </c>
      <c r="V1" s="5" t="s">
        <v>139</v>
      </c>
      <c r="W1" s="5" t="s">
        <v>140</v>
      </c>
      <c r="X1" s="5" t="s">
        <v>141</v>
      </c>
      <c r="Y1" s="5" t="s">
        <v>142</v>
      </c>
      <c r="Z1" s="5" t="s">
        <v>143</v>
      </c>
      <c r="AA1" s="5" t="s">
        <v>144</v>
      </c>
      <c r="AB1" s="5" t="s">
        <v>145</v>
      </c>
      <c r="AC1" s="5" t="s">
        <v>146</v>
      </c>
      <c r="AD1" s="5" t="s">
        <v>147</v>
      </c>
      <c r="AE1" s="5" t="s">
        <v>148</v>
      </c>
      <c r="AF1" s="5" t="s">
        <v>149</v>
      </c>
      <c r="AG1" s="5" t="s">
        <v>150</v>
      </c>
      <c r="AH1" s="5" t="s">
        <v>151</v>
      </c>
      <c r="AI1" s="5" t="s">
        <v>152</v>
      </c>
      <c r="AJ1" s="5" t="s">
        <v>153</v>
      </c>
      <c r="AK1" s="5" t="s">
        <v>154</v>
      </c>
      <c r="AL1" s="5" t="s">
        <v>155</v>
      </c>
      <c r="AM1" s="5" t="s">
        <v>156</v>
      </c>
      <c r="AN1" s="5" t="s">
        <v>157</v>
      </c>
      <c r="AO1" s="5" t="s">
        <v>158</v>
      </c>
      <c r="AP1" s="5" t="s">
        <v>159</v>
      </c>
      <c r="AQ1" s="5" t="s">
        <v>160</v>
      </c>
      <c r="AR1" s="5" t="s">
        <v>161</v>
      </c>
      <c r="AS1" s="5" t="s">
        <v>162</v>
      </c>
      <c r="AT1" s="5" t="s">
        <v>163</v>
      </c>
      <c r="AU1" s="5" t="s">
        <v>164</v>
      </c>
      <c r="AV1" s="5" t="s">
        <v>165</v>
      </c>
      <c r="AW1" s="5" t="s">
        <v>166</v>
      </c>
      <c r="AX1" s="5" t="s">
        <v>167</v>
      </c>
      <c r="AY1" s="5" t="s">
        <v>168</v>
      </c>
      <c r="AZ1" s="5" t="s">
        <v>169</v>
      </c>
      <c r="BA1" s="5" t="s">
        <v>170</v>
      </c>
      <c r="BB1" s="5" t="s">
        <v>171</v>
      </c>
      <c r="BC1" s="5" t="s">
        <v>172</v>
      </c>
      <c r="BD1" s="5" t="s">
        <v>173</v>
      </c>
      <c r="BE1" s="5" t="s">
        <v>174</v>
      </c>
      <c r="BF1" s="5" t="s">
        <v>175</v>
      </c>
      <c r="BG1" s="5" t="s">
        <v>176</v>
      </c>
      <c r="BH1" s="5" t="s">
        <v>177</v>
      </c>
      <c r="BI1" s="5" t="s">
        <v>178</v>
      </c>
      <c r="BJ1" s="5" t="s">
        <v>179</v>
      </c>
      <c r="BK1" s="5" t="s">
        <v>180</v>
      </c>
      <c r="BL1" s="5" t="s">
        <v>181</v>
      </c>
      <c r="BM1" s="5" t="s">
        <v>182</v>
      </c>
      <c r="BN1" s="5" t="s">
        <v>183</v>
      </c>
      <c r="BO1" s="5" t="s">
        <v>184</v>
      </c>
      <c r="BP1" s="5" t="s">
        <v>185</v>
      </c>
      <c r="BQ1" s="5" t="s">
        <v>186</v>
      </c>
      <c r="BR1" s="5" t="s">
        <v>187</v>
      </c>
    </row>
    <row r="2" spans="1:70" x14ac:dyDescent="0.2">
      <c r="A2" s="7" t="s">
        <v>4</v>
      </c>
      <c r="B2" s="7">
        <v>2</v>
      </c>
      <c r="C2" s="7" t="s">
        <v>3</v>
      </c>
      <c r="D2" s="7" t="s">
        <v>14</v>
      </c>
      <c r="E2" s="8">
        <v>0.9</v>
      </c>
      <c r="F2" s="7">
        <f>(G2+I2)/20</f>
        <v>0.9</v>
      </c>
      <c r="G2" s="7">
        <v>0</v>
      </c>
      <c r="H2" s="7">
        <v>20</v>
      </c>
      <c r="I2" s="7">
        <f>SUM(J2:AQ2)</f>
        <v>18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13</v>
      </c>
      <c r="W2" s="7">
        <v>0</v>
      </c>
      <c r="X2" s="7">
        <v>2</v>
      </c>
      <c r="Y2" s="7">
        <v>0</v>
      </c>
      <c r="Z2" s="7">
        <v>2</v>
      </c>
      <c r="AA2" s="7">
        <v>0</v>
      </c>
      <c r="AB2" s="7">
        <v>0</v>
      </c>
      <c r="AC2" s="7">
        <v>1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</row>
    <row r="3" spans="1:70" x14ac:dyDescent="0.2">
      <c r="A3" s="7" t="s">
        <v>4</v>
      </c>
      <c r="B3" s="7">
        <v>2</v>
      </c>
      <c r="C3" s="7" t="s">
        <v>3</v>
      </c>
      <c r="D3" s="7" t="s">
        <v>11</v>
      </c>
      <c r="E3" s="7">
        <v>1</v>
      </c>
      <c r="F3" s="7">
        <f t="shared" ref="F3:F66" si="0">(G3+I3)/20</f>
        <v>0.9</v>
      </c>
      <c r="G3" s="7">
        <v>0</v>
      </c>
      <c r="H3" s="7">
        <v>20</v>
      </c>
      <c r="I3" s="7">
        <f t="shared" ref="I3:I66" si="1">SUM(J3:AQ3)</f>
        <v>18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18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</row>
    <row r="4" spans="1:70" x14ac:dyDescent="0.2">
      <c r="A4" s="7" t="s">
        <v>4</v>
      </c>
      <c r="B4" s="7">
        <v>2</v>
      </c>
      <c r="C4" s="7" t="s">
        <v>3</v>
      </c>
      <c r="D4" s="7" t="s">
        <v>15</v>
      </c>
      <c r="E4" s="7">
        <v>0.94</v>
      </c>
      <c r="F4" s="7">
        <f t="shared" si="0"/>
        <v>0.95</v>
      </c>
      <c r="G4" s="7">
        <v>0</v>
      </c>
      <c r="H4" s="7">
        <v>20</v>
      </c>
      <c r="I4" s="7">
        <f t="shared" si="1"/>
        <v>19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8</v>
      </c>
      <c r="T4" s="7">
        <v>0</v>
      </c>
      <c r="U4" s="7">
        <v>0</v>
      </c>
      <c r="V4" s="7">
        <v>11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</row>
    <row r="5" spans="1:70" x14ac:dyDescent="0.2">
      <c r="A5" s="7" t="s">
        <v>4</v>
      </c>
      <c r="B5" s="7">
        <v>2</v>
      </c>
      <c r="C5" s="7" t="s">
        <v>3</v>
      </c>
      <c r="D5" s="7" t="s">
        <v>16</v>
      </c>
      <c r="E5" s="7">
        <v>0.94</v>
      </c>
      <c r="F5" s="7">
        <f t="shared" si="0"/>
        <v>0.6</v>
      </c>
      <c r="G5" s="7">
        <v>0</v>
      </c>
      <c r="H5" s="7">
        <v>20</v>
      </c>
      <c r="I5" s="7">
        <f t="shared" si="1"/>
        <v>12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11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</row>
    <row r="6" spans="1:70" x14ac:dyDescent="0.2">
      <c r="A6" s="7" t="s">
        <v>4</v>
      </c>
      <c r="B6" s="7">
        <v>2</v>
      </c>
      <c r="C6" s="7" t="s">
        <v>3</v>
      </c>
      <c r="D6" s="7" t="s">
        <v>17</v>
      </c>
      <c r="E6" s="7">
        <v>0.78</v>
      </c>
      <c r="F6" s="7">
        <f t="shared" si="0"/>
        <v>0.75</v>
      </c>
      <c r="G6" s="7">
        <v>0</v>
      </c>
      <c r="H6" s="7">
        <v>20</v>
      </c>
      <c r="I6" s="7">
        <f t="shared" si="1"/>
        <v>15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15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</row>
    <row r="7" spans="1:70" x14ac:dyDescent="0.2">
      <c r="A7" s="7" t="s">
        <v>4</v>
      </c>
      <c r="B7" s="7">
        <v>2</v>
      </c>
      <c r="C7" s="7" t="s">
        <v>3</v>
      </c>
      <c r="D7" s="7" t="s">
        <v>18</v>
      </c>
      <c r="E7" s="7">
        <v>0.95</v>
      </c>
      <c r="F7" s="7">
        <f t="shared" si="0"/>
        <v>0.85</v>
      </c>
      <c r="G7" s="7">
        <v>0</v>
      </c>
      <c r="H7" s="7">
        <v>20</v>
      </c>
      <c r="I7" s="7">
        <f t="shared" si="1"/>
        <v>17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3</v>
      </c>
      <c r="R7" s="7">
        <v>0</v>
      </c>
      <c r="S7" s="7">
        <v>13</v>
      </c>
      <c r="T7" s="7">
        <v>0</v>
      </c>
      <c r="U7" s="7">
        <v>0</v>
      </c>
      <c r="V7" s="7">
        <v>0</v>
      </c>
      <c r="W7" s="7">
        <v>0</v>
      </c>
      <c r="X7" s="7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</row>
    <row r="8" spans="1:70" x14ac:dyDescent="0.2">
      <c r="A8" s="7" t="s">
        <v>4</v>
      </c>
      <c r="B8" s="7">
        <v>2</v>
      </c>
      <c r="C8" s="7" t="s">
        <v>3</v>
      </c>
      <c r="D8" s="7" t="s">
        <v>19</v>
      </c>
      <c r="E8" s="7">
        <v>0.95</v>
      </c>
      <c r="F8" s="7">
        <f t="shared" si="0"/>
        <v>0.95</v>
      </c>
      <c r="G8" s="7">
        <v>0</v>
      </c>
      <c r="H8" s="7">
        <v>20</v>
      </c>
      <c r="I8" s="7">
        <f t="shared" si="1"/>
        <v>19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15</v>
      </c>
      <c r="R8" s="7">
        <v>0</v>
      </c>
      <c r="S8" s="7">
        <v>4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</row>
    <row r="9" spans="1:70" x14ac:dyDescent="0.2">
      <c r="A9" s="7" t="s">
        <v>4</v>
      </c>
      <c r="B9" s="7">
        <v>2</v>
      </c>
      <c r="C9" s="7" t="s">
        <v>3</v>
      </c>
      <c r="D9" s="7" t="s">
        <v>12</v>
      </c>
      <c r="E9" s="7">
        <v>0.75</v>
      </c>
      <c r="F9" s="7">
        <f t="shared" si="0"/>
        <v>0.7</v>
      </c>
      <c r="G9" s="7">
        <v>0</v>
      </c>
      <c r="H9" s="7">
        <v>20</v>
      </c>
      <c r="I9" s="7">
        <f t="shared" si="1"/>
        <v>14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7</v>
      </c>
      <c r="T9" s="7">
        <v>0</v>
      </c>
      <c r="U9" s="7">
        <v>0</v>
      </c>
      <c r="V9" s="7">
        <v>6</v>
      </c>
      <c r="W9" s="7">
        <v>0</v>
      </c>
      <c r="X9" s="7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</row>
    <row r="10" spans="1:70" x14ac:dyDescent="0.2">
      <c r="A10" s="7" t="s">
        <v>4</v>
      </c>
      <c r="B10" s="7">
        <v>2</v>
      </c>
      <c r="C10" s="7" t="s">
        <v>3</v>
      </c>
      <c r="D10" s="7" t="s">
        <v>31</v>
      </c>
      <c r="E10" s="7">
        <v>0.91</v>
      </c>
      <c r="F10" s="7">
        <f t="shared" si="0"/>
        <v>0.95</v>
      </c>
      <c r="G10" s="7">
        <v>0</v>
      </c>
      <c r="H10" s="7">
        <v>20</v>
      </c>
      <c r="I10" s="7">
        <f t="shared" si="1"/>
        <v>19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14</v>
      </c>
      <c r="W10" s="7">
        <v>0</v>
      </c>
      <c r="X10" s="7">
        <v>3</v>
      </c>
      <c r="Y10" s="7">
        <v>0</v>
      </c>
      <c r="Z10" s="7">
        <v>1</v>
      </c>
      <c r="AA10" s="7">
        <v>0</v>
      </c>
      <c r="AB10" s="7">
        <v>0</v>
      </c>
      <c r="AC10" s="7">
        <v>1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</row>
    <row r="11" spans="1:70" x14ac:dyDescent="0.2">
      <c r="A11" s="7" t="s">
        <v>4</v>
      </c>
      <c r="B11" s="7">
        <v>2</v>
      </c>
      <c r="C11" s="7" t="s">
        <v>3</v>
      </c>
      <c r="D11" s="7" t="s">
        <v>20</v>
      </c>
      <c r="E11" s="7">
        <v>0.92</v>
      </c>
      <c r="F11" s="7">
        <f t="shared" si="0"/>
        <v>0.95</v>
      </c>
      <c r="G11" s="7">
        <v>0</v>
      </c>
      <c r="H11" s="7">
        <v>20</v>
      </c>
      <c r="I11" s="7">
        <f t="shared" si="1"/>
        <v>19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17</v>
      </c>
      <c r="W11" s="7">
        <v>0</v>
      </c>
      <c r="X11" s="7">
        <v>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</row>
    <row r="12" spans="1:70" x14ac:dyDescent="0.2">
      <c r="A12" s="7" t="s">
        <v>4</v>
      </c>
      <c r="B12" s="7">
        <v>2</v>
      </c>
      <c r="C12" s="7" t="s">
        <v>3</v>
      </c>
      <c r="D12" s="7" t="s">
        <v>13</v>
      </c>
      <c r="E12" s="7">
        <v>0.74</v>
      </c>
      <c r="F12" s="7">
        <f t="shared" si="0"/>
        <v>0.8</v>
      </c>
      <c r="G12" s="7">
        <v>3</v>
      </c>
      <c r="H12" s="7">
        <v>20</v>
      </c>
      <c r="I12" s="7">
        <f t="shared" si="1"/>
        <v>13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10</v>
      </c>
      <c r="T12" s="7">
        <v>0</v>
      </c>
      <c r="U12" s="7">
        <v>0</v>
      </c>
      <c r="V12" s="7">
        <v>2</v>
      </c>
      <c r="W12" s="7">
        <v>0</v>
      </c>
      <c r="X12" s="7">
        <v>1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</row>
    <row r="13" spans="1:70" x14ac:dyDescent="0.2">
      <c r="A13" s="7" t="s">
        <v>4</v>
      </c>
      <c r="B13" s="7">
        <v>2</v>
      </c>
      <c r="C13" s="7" t="s">
        <v>3</v>
      </c>
      <c r="D13" s="7" t="s">
        <v>21</v>
      </c>
      <c r="E13" s="7">
        <v>0.12</v>
      </c>
      <c r="F13" s="7">
        <f t="shared" si="0"/>
        <v>0.05</v>
      </c>
      <c r="G13" s="7">
        <v>0</v>
      </c>
      <c r="H13" s="7">
        <v>20</v>
      </c>
      <c r="I13" s="7">
        <f t="shared" si="1"/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</row>
    <row r="14" spans="1:70" x14ac:dyDescent="0.2">
      <c r="A14" s="7" t="s">
        <v>4</v>
      </c>
      <c r="B14" s="7">
        <v>2</v>
      </c>
      <c r="C14" s="7" t="s">
        <v>3</v>
      </c>
      <c r="D14" s="7" t="s">
        <v>42</v>
      </c>
      <c r="E14" s="7">
        <v>0.78</v>
      </c>
      <c r="F14" s="7">
        <f t="shared" si="0"/>
        <v>0.6</v>
      </c>
      <c r="G14" s="7">
        <v>0</v>
      </c>
      <c r="H14" s="7">
        <v>20</v>
      </c>
      <c r="I14" s="7">
        <f t="shared" si="1"/>
        <v>12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11</v>
      </c>
      <c r="T14" s="7">
        <v>0</v>
      </c>
      <c r="U14" s="7">
        <v>0</v>
      </c>
      <c r="V14" s="7">
        <v>1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</row>
    <row r="15" spans="1:70" x14ac:dyDescent="0.2">
      <c r="A15" s="7" t="s">
        <v>4</v>
      </c>
      <c r="B15" s="7">
        <v>2</v>
      </c>
      <c r="C15" s="7" t="s">
        <v>3</v>
      </c>
      <c r="D15" s="7" t="s">
        <v>23</v>
      </c>
      <c r="E15" s="7">
        <v>0.72</v>
      </c>
      <c r="F15" s="7">
        <f t="shared" si="0"/>
        <v>0.85</v>
      </c>
      <c r="G15" s="7">
        <v>1</v>
      </c>
      <c r="H15" s="7">
        <v>20</v>
      </c>
      <c r="I15" s="7">
        <f t="shared" si="1"/>
        <v>16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8</v>
      </c>
      <c r="T15" s="7">
        <v>0</v>
      </c>
      <c r="U15" s="7">
        <v>0</v>
      </c>
      <c r="V15" s="7">
        <v>8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</row>
    <row r="16" spans="1:70" x14ac:dyDescent="0.2">
      <c r="A16" s="7" t="s">
        <v>4</v>
      </c>
      <c r="B16" s="7">
        <v>2</v>
      </c>
      <c r="C16" s="7" t="s">
        <v>3</v>
      </c>
      <c r="D16" s="7" t="s">
        <v>22</v>
      </c>
      <c r="E16" s="9">
        <v>0.85</v>
      </c>
      <c r="F16" s="7">
        <f t="shared" si="0"/>
        <v>0.7</v>
      </c>
      <c r="G16" s="7">
        <v>0</v>
      </c>
      <c r="H16" s="7">
        <v>20</v>
      </c>
      <c r="I16" s="7">
        <f t="shared" si="1"/>
        <v>14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10</v>
      </c>
      <c r="T16" s="7">
        <v>0</v>
      </c>
      <c r="U16" s="7">
        <v>0</v>
      </c>
      <c r="V16" s="7">
        <v>3</v>
      </c>
      <c r="W16" s="7">
        <v>0</v>
      </c>
      <c r="X16" s="7">
        <v>0</v>
      </c>
      <c r="Y16" s="7">
        <v>0</v>
      </c>
      <c r="Z16" s="7">
        <v>1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</row>
    <row r="17" spans="1:70" x14ac:dyDescent="0.2">
      <c r="A17" s="7" t="s">
        <v>6</v>
      </c>
      <c r="B17" s="7">
        <v>2</v>
      </c>
      <c r="C17" s="7" t="s">
        <v>3</v>
      </c>
      <c r="D17" s="7" t="s">
        <v>24</v>
      </c>
      <c r="E17" s="7">
        <v>1</v>
      </c>
      <c r="F17" s="7">
        <f t="shared" si="0"/>
        <v>0.95</v>
      </c>
      <c r="G17" s="7">
        <v>0</v>
      </c>
      <c r="H17" s="7">
        <v>20</v>
      </c>
      <c r="I17" s="7">
        <f t="shared" si="1"/>
        <v>19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2</v>
      </c>
      <c r="R17" s="7">
        <v>0</v>
      </c>
      <c r="S17" s="7">
        <v>9</v>
      </c>
      <c r="T17" s="7">
        <v>0</v>
      </c>
      <c r="U17" s="7">
        <v>0</v>
      </c>
      <c r="V17" s="7">
        <v>6</v>
      </c>
      <c r="W17" s="7">
        <v>0</v>
      </c>
      <c r="X17" s="7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1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</row>
    <row r="18" spans="1:70" x14ac:dyDescent="0.2">
      <c r="A18" s="7" t="s">
        <v>6</v>
      </c>
      <c r="B18" s="7">
        <v>2</v>
      </c>
      <c r="C18" s="7" t="s">
        <v>3</v>
      </c>
      <c r="D18" s="7" t="s">
        <v>25</v>
      </c>
      <c r="E18" s="7">
        <v>0.95</v>
      </c>
      <c r="F18" s="7">
        <f t="shared" si="0"/>
        <v>0.8</v>
      </c>
      <c r="G18" s="7">
        <v>0</v>
      </c>
      <c r="H18" s="7">
        <v>20</v>
      </c>
      <c r="I18" s="7">
        <f t="shared" si="1"/>
        <v>16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8</v>
      </c>
      <c r="T18" s="7">
        <v>0</v>
      </c>
      <c r="U18" s="7">
        <v>0</v>
      </c>
      <c r="V18" s="7">
        <v>6</v>
      </c>
      <c r="W18" s="7">
        <v>0</v>
      </c>
      <c r="X18" s="7">
        <v>2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</row>
    <row r="19" spans="1:70" x14ac:dyDescent="0.2">
      <c r="A19" s="7" t="s">
        <v>6</v>
      </c>
      <c r="B19" s="7">
        <v>2</v>
      </c>
      <c r="C19" s="7" t="s">
        <v>3</v>
      </c>
      <c r="D19" s="7" t="s">
        <v>26</v>
      </c>
      <c r="E19" s="7">
        <v>0.67</v>
      </c>
      <c r="F19" s="7">
        <f t="shared" si="0"/>
        <v>0.75</v>
      </c>
      <c r="G19" s="7">
        <v>0</v>
      </c>
      <c r="H19" s="7">
        <v>20</v>
      </c>
      <c r="I19" s="7">
        <f t="shared" si="1"/>
        <v>15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6</v>
      </c>
      <c r="T19" s="7">
        <v>0</v>
      </c>
      <c r="U19" s="7">
        <v>0</v>
      </c>
      <c r="V19" s="7">
        <v>8</v>
      </c>
      <c r="W19" s="7">
        <v>0</v>
      </c>
      <c r="X19" s="7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</row>
    <row r="20" spans="1:70" x14ac:dyDescent="0.2">
      <c r="A20" s="7" t="s">
        <v>6</v>
      </c>
      <c r="B20" s="7">
        <v>2</v>
      </c>
      <c r="C20" s="7" t="s">
        <v>3</v>
      </c>
      <c r="D20" s="7" t="s">
        <v>27</v>
      </c>
      <c r="E20" s="7">
        <v>0.99</v>
      </c>
      <c r="F20" s="7">
        <f t="shared" si="0"/>
        <v>0.9</v>
      </c>
      <c r="G20" s="7">
        <v>0</v>
      </c>
      <c r="H20" s="7">
        <v>20</v>
      </c>
      <c r="I20" s="7">
        <f t="shared" si="1"/>
        <v>18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16</v>
      </c>
      <c r="T20" s="7">
        <v>0</v>
      </c>
      <c r="U20" s="7">
        <v>0</v>
      </c>
      <c r="V20" s="7">
        <v>0</v>
      </c>
      <c r="W20" s="7">
        <v>0</v>
      </c>
      <c r="X20" s="7">
        <v>2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</row>
    <row r="21" spans="1:70" x14ac:dyDescent="0.2">
      <c r="A21" s="7" t="s">
        <v>6</v>
      </c>
      <c r="B21" s="7">
        <v>2</v>
      </c>
      <c r="C21" s="7" t="s">
        <v>3</v>
      </c>
      <c r="D21" s="7" t="s">
        <v>11</v>
      </c>
      <c r="E21" s="7">
        <v>1</v>
      </c>
      <c r="F21" s="7">
        <f t="shared" si="0"/>
        <v>1</v>
      </c>
      <c r="G21" s="7">
        <v>0</v>
      </c>
      <c r="H21" s="7">
        <v>20</v>
      </c>
      <c r="I21" s="7">
        <f t="shared" si="1"/>
        <v>20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11</v>
      </c>
      <c r="T21" s="7">
        <v>0</v>
      </c>
      <c r="U21" s="7">
        <v>0</v>
      </c>
      <c r="V21" s="7">
        <v>8</v>
      </c>
      <c r="W21" s="7">
        <v>0</v>
      </c>
      <c r="X21" s="7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</row>
    <row r="22" spans="1:70" x14ac:dyDescent="0.2">
      <c r="A22" s="7" t="s">
        <v>6</v>
      </c>
      <c r="B22" s="7">
        <v>2</v>
      </c>
      <c r="C22" s="7" t="s">
        <v>3</v>
      </c>
      <c r="D22" s="7" t="s">
        <v>28</v>
      </c>
      <c r="E22" s="7">
        <v>0.89</v>
      </c>
      <c r="F22" s="7">
        <f t="shared" si="0"/>
        <v>0.85</v>
      </c>
      <c r="G22" s="7">
        <v>0</v>
      </c>
      <c r="H22" s="7">
        <v>20</v>
      </c>
      <c r="I22" s="7">
        <f t="shared" si="1"/>
        <v>17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12</v>
      </c>
      <c r="W22" s="7">
        <v>0</v>
      </c>
      <c r="X22" s="7">
        <v>3</v>
      </c>
      <c r="Y22" s="7">
        <v>0</v>
      </c>
      <c r="Z22" s="7">
        <v>0</v>
      </c>
      <c r="AA22" s="7">
        <v>0</v>
      </c>
      <c r="AB22" s="7">
        <v>0</v>
      </c>
      <c r="AC22" s="7">
        <v>2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</row>
    <row r="23" spans="1:70" x14ac:dyDescent="0.2">
      <c r="A23" s="7" t="s">
        <v>6</v>
      </c>
      <c r="B23" s="7">
        <v>2</v>
      </c>
      <c r="C23" s="7" t="s">
        <v>3</v>
      </c>
      <c r="D23" s="7" t="s">
        <v>16</v>
      </c>
      <c r="E23" s="7">
        <v>0.94</v>
      </c>
      <c r="F23" s="7">
        <f t="shared" si="0"/>
        <v>0.9</v>
      </c>
      <c r="G23" s="7">
        <v>0</v>
      </c>
      <c r="H23" s="7">
        <v>20</v>
      </c>
      <c r="I23" s="7">
        <f t="shared" si="1"/>
        <v>18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6</v>
      </c>
      <c r="T23" s="7">
        <v>0</v>
      </c>
      <c r="U23" s="7">
        <v>0</v>
      </c>
      <c r="V23" s="7">
        <v>9</v>
      </c>
      <c r="W23" s="7">
        <v>0</v>
      </c>
      <c r="X23" s="7">
        <v>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</row>
    <row r="24" spans="1:70" x14ac:dyDescent="0.2">
      <c r="A24" s="7" t="s">
        <v>6</v>
      </c>
      <c r="B24" s="7">
        <v>2</v>
      </c>
      <c r="C24" s="7" t="s">
        <v>3</v>
      </c>
      <c r="D24" s="7" t="s">
        <v>29</v>
      </c>
      <c r="E24" s="7">
        <v>0.91</v>
      </c>
      <c r="F24" s="7">
        <f t="shared" si="0"/>
        <v>0.8</v>
      </c>
      <c r="G24" s="7">
        <v>0</v>
      </c>
      <c r="H24" s="7">
        <v>20</v>
      </c>
      <c r="I24" s="7">
        <f t="shared" si="1"/>
        <v>16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5</v>
      </c>
      <c r="T24" s="7">
        <v>0</v>
      </c>
      <c r="U24" s="7">
        <v>0</v>
      </c>
      <c r="V24" s="7">
        <v>11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</row>
    <row r="25" spans="1:70" x14ac:dyDescent="0.2">
      <c r="A25" s="7" t="s">
        <v>6</v>
      </c>
      <c r="B25" s="7">
        <v>2</v>
      </c>
      <c r="C25" s="7" t="s">
        <v>3</v>
      </c>
      <c r="D25" s="7" t="s">
        <v>30</v>
      </c>
      <c r="E25" s="7">
        <v>0.81</v>
      </c>
      <c r="F25" s="7">
        <f t="shared" si="0"/>
        <v>0.75</v>
      </c>
      <c r="G25" s="7">
        <v>0</v>
      </c>
      <c r="H25" s="7">
        <v>20</v>
      </c>
      <c r="I25" s="7">
        <f t="shared" si="1"/>
        <v>15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7</v>
      </c>
      <c r="R25" s="7">
        <v>0</v>
      </c>
      <c r="S25" s="7">
        <v>5</v>
      </c>
      <c r="T25" s="7">
        <v>0</v>
      </c>
      <c r="U25" s="7">
        <v>0</v>
      </c>
      <c r="V25" s="7">
        <v>0</v>
      </c>
      <c r="W25" s="7">
        <v>0</v>
      </c>
      <c r="X25" s="7">
        <v>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</row>
    <row r="26" spans="1:70" x14ac:dyDescent="0.2">
      <c r="A26" s="7" t="s">
        <v>6</v>
      </c>
      <c r="B26" s="7">
        <v>2</v>
      </c>
      <c r="C26" s="7" t="s">
        <v>3</v>
      </c>
      <c r="D26" s="7" t="s">
        <v>31</v>
      </c>
      <c r="E26" s="7">
        <v>0.91</v>
      </c>
      <c r="F26" s="7">
        <f t="shared" si="0"/>
        <v>0.8</v>
      </c>
      <c r="G26" s="7">
        <v>0</v>
      </c>
      <c r="H26" s="7">
        <v>20</v>
      </c>
      <c r="I26" s="7">
        <f t="shared" si="1"/>
        <v>16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14</v>
      </c>
      <c r="W26" s="7">
        <v>0</v>
      </c>
      <c r="X26" s="7">
        <v>0</v>
      </c>
      <c r="Y26" s="7">
        <v>0</v>
      </c>
      <c r="Z26" s="7">
        <v>2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</row>
    <row r="27" spans="1:70" s="4" customFormat="1" x14ac:dyDescent="0.2">
      <c r="A27" s="7" t="s">
        <v>6</v>
      </c>
      <c r="B27" s="7">
        <v>2</v>
      </c>
      <c r="C27" s="7" t="s">
        <v>3</v>
      </c>
      <c r="D27" s="7" t="s">
        <v>32</v>
      </c>
      <c r="E27" s="7">
        <v>0.95</v>
      </c>
      <c r="F27" s="7">
        <f t="shared" si="0"/>
        <v>1</v>
      </c>
      <c r="G27" s="7">
        <v>0</v>
      </c>
      <c r="H27" s="7">
        <v>20</v>
      </c>
      <c r="I27" s="7">
        <f t="shared" si="1"/>
        <v>20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16</v>
      </c>
      <c r="T27" s="7">
        <v>0</v>
      </c>
      <c r="U27" s="7">
        <v>0</v>
      </c>
      <c r="V27" s="7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</row>
    <row r="28" spans="1:70" x14ac:dyDescent="0.2">
      <c r="A28" s="7" t="s">
        <v>6</v>
      </c>
      <c r="B28" s="7">
        <v>2</v>
      </c>
      <c r="C28" s="7" t="s">
        <v>3</v>
      </c>
      <c r="D28" s="7" t="s">
        <v>33</v>
      </c>
      <c r="E28" s="7">
        <v>0.84</v>
      </c>
      <c r="F28" s="7">
        <f t="shared" si="0"/>
        <v>0.8</v>
      </c>
      <c r="G28" s="7">
        <v>1</v>
      </c>
      <c r="H28" s="7">
        <v>20</v>
      </c>
      <c r="I28" s="7">
        <f t="shared" si="1"/>
        <v>15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8</v>
      </c>
      <c r="T28" s="7">
        <v>0</v>
      </c>
      <c r="U28" s="7">
        <v>0</v>
      </c>
      <c r="V28" s="7">
        <v>7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</row>
    <row r="29" spans="1:70" x14ac:dyDescent="0.2">
      <c r="A29" s="7" t="s">
        <v>6</v>
      </c>
      <c r="B29" s="7">
        <v>2</v>
      </c>
      <c r="C29" s="7" t="s">
        <v>3</v>
      </c>
      <c r="D29" s="7" t="s">
        <v>22</v>
      </c>
      <c r="E29" s="7">
        <v>0.85</v>
      </c>
      <c r="F29" s="7">
        <f t="shared" si="0"/>
        <v>0.8</v>
      </c>
      <c r="G29" s="7">
        <v>0</v>
      </c>
      <c r="H29" s="7">
        <v>20</v>
      </c>
      <c r="I29" s="7">
        <f t="shared" si="1"/>
        <v>16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4</v>
      </c>
      <c r="R29" s="7">
        <v>0</v>
      </c>
      <c r="S29" s="7">
        <v>11</v>
      </c>
      <c r="T29" s="7">
        <v>0</v>
      </c>
      <c r="U29" s="7">
        <v>0</v>
      </c>
      <c r="V29" s="7">
        <v>0</v>
      </c>
      <c r="W29" s="7">
        <v>0</v>
      </c>
      <c r="X29" s="7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</row>
    <row r="30" spans="1:70" x14ac:dyDescent="0.2">
      <c r="A30" s="7" t="s">
        <v>6</v>
      </c>
      <c r="B30" s="7">
        <v>2</v>
      </c>
      <c r="C30" s="7" t="s">
        <v>3</v>
      </c>
      <c r="D30" s="7" t="s">
        <v>34</v>
      </c>
      <c r="E30" s="7">
        <v>0.97</v>
      </c>
      <c r="F30" s="7">
        <f t="shared" si="0"/>
        <v>1</v>
      </c>
      <c r="G30" s="7">
        <v>0</v>
      </c>
      <c r="H30" s="7">
        <v>20</v>
      </c>
      <c r="I30" s="7">
        <f t="shared" si="1"/>
        <v>20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2</v>
      </c>
      <c r="R30" s="7">
        <v>0</v>
      </c>
      <c r="S30" s="7">
        <v>7</v>
      </c>
      <c r="T30" s="7">
        <v>0</v>
      </c>
      <c r="U30" s="7">
        <v>0</v>
      </c>
      <c r="V30" s="7">
        <v>11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</row>
    <row r="31" spans="1:70" x14ac:dyDescent="0.2">
      <c r="A31" s="7" t="s">
        <v>6</v>
      </c>
      <c r="B31" s="7">
        <v>2</v>
      </c>
      <c r="C31" s="7" t="s">
        <v>3</v>
      </c>
      <c r="D31" s="7" t="s">
        <v>35</v>
      </c>
      <c r="E31" s="9">
        <v>0.93</v>
      </c>
      <c r="F31" s="7">
        <f t="shared" si="0"/>
        <v>0.95</v>
      </c>
      <c r="G31" s="7">
        <v>0</v>
      </c>
      <c r="H31" s="7">
        <v>20</v>
      </c>
      <c r="I31" s="7">
        <f t="shared" si="1"/>
        <v>19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12</v>
      </c>
      <c r="T31" s="7">
        <v>0</v>
      </c>
      <c r="U31" s="7">
        <v>0</v>
      </c>
      <c r="V31" s="7">
        <v>6</v>
      </c>
      <c r="W31" s="7">
        <v>0</v>
      </c>
      <c r="X31" s="7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</row>
    <row r="32" spans="1:70" x14ac:dyDescent="0.2">
      <c r="A32" s="7" t="s">
        <v>7</v>
      </c>
      <c r="B32" s="7">
        <v>2</v>
      </c>
      <c r="C32" s="7" t="s">
        <v>3</v>
      </c>
      <c r="D32" s="7" t="s">
        <v>25</v>
      </c>
      <c r="E32" s="7">
        <v>0.95</v>
      </c>
      <c r="F32" s="7">
        <f t="shared" si="0"/>
        <v>0.95</v>
      </c>
      <c r="G32" s="7">
        <v>0</v>
      </c>
      <c r="H32" s="7">
        <v>20</v>
      </c>
      <c r="I32" s="7">
        <f t="shared" si="1"/>
        <v>19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10</v>
      </c>
      <c r="W32" s="7">
        <v>0</v>
      </c>
      <c r="X32" s="7">
        <v>8</v>
      </c>
      <c r="Y32" s="7">
        <v>0</v>
      </c>
      <c r="Z32" s="7">
        <v>1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</row>
    <row r="33" spans="1:70" x14ac:dyDescent="0.2">
      <c r="A33" s="7" t="s">
        <v>7</v>
      </c>
      <c r="B33" s="7">
        <v>2</v>
      </c>
      <c r="C33" s="7" t="s">
        <v>3</v>
      </c>
      <c r="D33" s="7" t="s">
        <v>36</v>
      </c>
      <c r="E33" s="7">
        <v>0.79</v>
      </c>
      <c r="F33" s="7">
        <f t="shared" si="0"/>
        <v>0.75</v>
      </c>
      <c r="G33" s="7">
        <v>0</v>
      </c>
      <c r="H33" s="7">
        <v>20</v>
      </c>
      <c r="I33" s="7">
        <f t="shared" si="1"/>
        <v>15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7</v>
      </c>
      <c r="W33" s="7">
        <v>0</v>
      </c>
      <c r="X33" s="7">
        <v>8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</row>
    <row r="34" spans="1:70" x14ac:dyDescent="0.2">
      <c r="A34" s="7" t="s">
        <v>7</v>
      </c>
      <c r="B34" s="7">
        <v>2</v>
      </c>
      <c r="C34" s="7" t="s">
        <v>3</v>
      </c>
      <c r="D34" s="7" t="s">
        <v>28</v>
      </c>
      <c r="E34" s="7">
        <v>0.89</v>
      </c>
      <c r="F34" s="7">
        <f t="shared" si="0"/>
        <v>0.9</v>
      </c>
      <c r="G34" s="7">
        <v>0</v>
      </c>
      <c r="H34" s="7">
        <v>20</v>
      </c>
      <c r="I34" s="7">
        <f t="shared" si="1"/>
        <v>18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9</v>
      </c>
      <c r="W34" s="7">
        <v>0</v>
      </c>
      <c r="X34" s="7">
        <v>9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</row>
    <row r="35" spans="1:70" x14ac:dyDescent="0.2">
      <c r="A35" s="7" t="s">
        <v>7</v>
      </c>
      <c r="B35" s="7">
        <v>2</v>
      </c>
      <c r="C35" s="7" t="s">
        <v>3</v>
      </c>
      <c r="D35" s="7" t="s">
        <v>15</v>
      </c>
      <c r="E35" s="7">
        <v>0.93</v>
      </c>
      <c r="F35" s="7">
        <f t="shared" si="0"/>
        <v>1</v>
      </c>
      <c r="G35" s="7">
        <v>0</v>
      </c>
      <c r="H35" s="7">
        <v>20</v>
      </c>
      <c r="I35" s="7">
        <f t="shared" si="1"/>
        <v>20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20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</row>
    <row r="36" spans="1:70" x14ac:dyDescent="0.2">
      <c r="A36" s="7" t="s">
        <v>7</v>
      </c>
      <c r="B36" s="7">
        <v>2</v>
      </c>
      <c r="C36" s="7" t="s">
        <v>3</v>
      </c>
      <c r="D36" s="7" t="s">
        <v>37</v>
      </c>
      <c r="E36" s="7">
        <v>0.96</v>
      </c>
      <c r="F36" s="7">
        <f t="shared" si="0"/>
        <v>0.7</v>
      </c>
      <c r="G36" s="7">
        <v>0</v>
      </c>
      <c r="H36" s="7">
        <v>20</v>
      </c>
      <c r="I36" s="7">
        <f t="shared" si="1"/>
        <v>14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4</v>
      </c>
      <c r="W36" s="7">
        <v>0</v>
      </c>
      <c r="X36" s="7">
        <v>6</v>
      </c>
      <c r="Y36" s="7">
        <v>0</v>
      </c>
      <c r="Z36" s="7">
        <v>3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1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</row>
    <row r="37" spans="1:70" x14ac:dyDescent="0.2">
      <c r="A37" s="7" t="s">
        <v>7</v>
      </c>
      <c r="B37" s="7">
        <v>2</v>
      </c>
      <c r="C37" s="7" t="s">
        <v>3</v>
      </c>
      <c r="D37" s="7" t="s">
        <v>18</v>
      </c>
      <c r="E37" s="7">
        <v>0.95</v>
      </c>
      <c r="F37" s="7">
        <f t="shared" si="0"/>
        <v>0.95</v>
      </c>
      <c r="G37" s="7">
        <v>0</v>
      </c>
      <c r="H37" s="7">
        <v>20</v>
      </c>
      <c r="I37" s="7">
        <f t="shared" si="1"/>
        <v>19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18</v>
      </c>
      <c r="T37" s="7">
        <v>0</v>
      </c>
      <c r="U37" s="7">
        <v>0</v>
      </c>
      <c r="V37" s="7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</row>
    <row r="38" spans="1:70" x14ac:dyDescent="0.2">
      <c r="A38" s="7" t="s">
        <v>7</v>
      </c>
      <c r="B38" s="7">
        <v>2</v>
      </c>
      <c r="C38" s="7" t="s">
        <v>3</v>
      </c>
      <c r="D38" s="7" t="s">
        <v>19</v>
      </c>
      <c r="E38" s="7">
        <v>0.93</v>
      </c>
      <c r="F38" s="7">
        <f t="shared" si="0"/>
        <v>0.95</v>
      </c>
      <c r="G38" s="7">
        <v>0</v>
      </c>
      <c r="H38" s="7">
        <v>20</v>
      </c>
      <c r="I38" s="7">
        <f t="shared" si="1"/>
        <v>19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6</v>
      </c>
      <c r="R38" s="7">
        <v>0</v>
      </c>
      <c r="S38" s="7">
        <v>13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</row>
    <row r="39" spans="1:70" x14ac:dyDescent="0.2">
      <c r="A39" s="7" t="s">
        <v>7</v>
      </c>
      <c r="B39" s="7">
        <v>2</v>
      </c>
      <c r="C39" s="7" t="s">
        <v>3</v>
      </c>
      <c r="D39" s="7" t="s">
        <v>38</v>
      </c>
      <c r="E39" s="7">
        <v>0.95</v>
      </c>
      <c r="F39" s="7">
        <f t="shared" si="0"/>
        <v>1</v>
      </c>
      <c r="G39" s="7">
        <v>0</v>
      </c>
      <c r="H39" s="7">
        <v>20</v>
      </c>
      <c r="I39" s="7">
        <f t="shared" si="1"/>
        <v>20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19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</row>
    <row r="40" spans="1:70" x14ac:dyDescent="0.2">
      <c r="A40" s="7" t="s">
        <v>7</v>
      </c>
      <c r="B40" s="7">
        <v>2</v>
      </c>
      <c r="C40" s="7" t="s">
        <v>3</v>
      </c>
      <c r="D40" s="7" t="s">
        <v>39</v>
      </c>
      <c r="E40" s="7">
        <v>0.92</v>
      </c>
      <c r="F40" s="7">
        <f t="shared" si="0"/>
        <v>0.9</v>
      </c>
      <c r="G40" s="7">
        <v>0</v>
      </c>
      <c r="H40" s="7">
        <v>20</v>
      </c>
      <c r="I40" s="7">
        <f t="shared" si="1"/>
        <v>18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1</v>
      </c>
      <c r="W40" s="7">
        <v>0</v>
      </c>
      <c r="X40" s="7">
        <v>11</v>
      </c>
      <c r="Y40" s="7">
        <v>0</v>
      </c>
      <c r="Z40" s="7">
        <v>2</v>
      </c>
      <c r="AA40" s="7">
        <v>0</v>
      </c>
      <c r="AB40" s="7">
        <v>0</v>
      </c>
      <c r="AC40" s="7">
        <v>4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</row>
    <row r="41" spans="1:70" x14ac:dyDescent="0.2">
      <c r="A41" s="7" t="s">
        <v>7</v>
      </c>
      <c r="B41" s="7">
        <v>2</v>
      </c>
      <c r="C41" s="7" t="s">
        <v>3</v>
      </c>
      <c r="D41" s="7" t="s">
        <v>40</v>
      </c>
      <c r="E41" s="7">
        <v>0.79</v>
      </c>
      <c r="F41" s="7">
        <f t="shared" si="0"/>
        <v>0.9</v>
      </c>
      <c r="G41" s="7">
        <v>0</v>
      </c>
      <c r="H41" s="7">
        <v>20</v>
      </c>
      <c r="I41" s="7">
        <f t="shared" si="1"/>
        <v>18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3</v>
      </c>
      <c r="T41" s="7">
        <v>0</v>
      </c>
      <c r="U41" s="7">
        <v>0</v>
      </c>
      <c r="V41" s="7">
        <v>13</v>
      </c>
      <c r="W41" s="7">
        <v>0</v>
      </c>
      <c r="X41" s="7">
        <v>2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</row>
    <row r="42" spans="1:70" x14ac:dyDescent="0.2">
      <c r="A42" s="7" t="s">
        <v>7</v>
      </c>
      <c r="B42" s="7">
        <v>2</v>
      </c>
      <c r="C42" s="7" t="s">
        <v>3</v>
      </c>
      <c r="D42" s="7" t="s">
        <v>41</v>
      </c>
      <c r="E42" s="7">
        <v>0.96</v>
      </c>
      <c r="F42" s="7">
        <f t="shared" si="0"/>
        <v>0.9</v>
      </c>
      <c r="G42" s="7">
        <v>0</v>
      </c>
      <c r="H42" s="7">
        <v>20</v>
      </c>
      <c r="I42" s="7">
        <f t="shared" si="1"/>
        <v>18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11</v>
      </c>
      <c r="W42" s="7">
        <v>0</v>
      </c>
      <c r="X42" s="7">
        <v>6</v>
      </c>
      <c r="Y42" s="7">
        <v>0</v>
      </c>
      <c r="Z42" s="7">
        <v>1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</row>
    <row r="43" spans="1:70" x14ac:dyDescent="0.2">
      <c r="A43" s="7" t="s">
        <v>7</v>
      </c>
      <c r="B43" s="7">
        <v>2</v>
      </c>
      <c r="C43" s="7" t="s">
        <v>3</v>
      </c>
      <c r="D43" s="7" t="s">
        <v>21</v>
      </c>
      <c r="E43" s="7">
        <v>0.12</v>
      </c>
      <c r="F43" s="7">
        <f t="shared" si="0"/>
        <v>0</v>
      </c>
      <c r="G43" s="7">
        <v>0</v>
      </c>
      <c r="H43" s="7">
        <v>20</v>
      </c>
      <c r="I43" s="7">
        <f t="shared" si="1"/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</row>
    <row r="44" spans="1:70" x14ac:dyDescent="0.2">
      <c r="A44" s="7" t="s">
        <v>7</v>
      </c>
      <c r="B44" s="7">
        <v>2</v>
      </c>
      <c r="C44" s="7" t="s">
        <v>3</v>
      </c>
      <c r="D44" s="7" t="s">
        <v>42</v>
      </c>
      <c r="E44" s="7">
        <v>0.78</v>
      </c>
      <c r="F44" s="7">
        <f t="shared" si="0"/>
        <v>0.75</v>
      </c>
      <c r="G44" s="7">
        <v>1</v>
      </c>
      <c r="H44" s="7">
        <v>20</v>
      </c>
      <c r="I44" s="7">
        <f t="shared" si="1"/>
        <v>14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8</v>
      </c>
      <c r="T44" s="7">
        <v>0</v>
      </c>
      <c r="U44" s="7">
        <v>0</v>
      </c>
      <c r="V44" s="7">
        <v>5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1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</row>
    <row r="45" spans="1:70" s="3" customFormat="1" x14ac:dyDescent="0.2">
      <c r="A45" s="7" t="s">
        <v>7</v>
      </c>
      <c r="B45" s="7">
        <v>2</v>
      </c>
      <c r="C45" s="7" t="s">
        <v>3</v>
      </c>
      <c r="D45" s="7" t="s">
        <v>43</v>
      </c>
      <c r="E45" s="7">
        <v>0.79</v>
      </c>
      <c r="F45" s="7">
        <f t="shared" si="0"/>
        <v>0.9</v>
      </c>
      <c r="G45" s="7">
        <v>0</v>
      </c>
      <c r="H45" s="7">
        <v>20</v>
      </c>
      <c r="I45" s="7">
        <f t="shared" si="1"/>
        <v>18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13</v>
      </c>
      <c r="T45" s="7">
        <v>0</v>
      </c>
      <c r="U45" s="7">
        <v>0</v>
      </c>
      <c r="V45" s="7">
        <v>5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1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</row>
    <row r="46" spans="1:70" x14ac:dyDescent="0.2">
      <c r="A46" s="7" t="s">
        <v>7</v>
      </c>
      <c r="B46" s="7">
        <v>2</v>
      </c>
      <c r="C46" s="7" t="s">
        <v>3</v>
      </c>
      <c r="D46" s="7" t="s">
        <v>44</v>
      </c>
      <c r="E46" s="9">
        <v>0.88</v>
      </c>
      <c r="F46" s="7">
        <f t="shared" si="0"/>
        <v>0.75</v>
      </c>
      <c r="G46" s="7">
        <v>0</v>
      </c>
      <c r="H46" s="7">
        <v>20</v>
      </c>
      <c r="I46" s="7">
        <f t="shared" si="1"/>
        <v>15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2</v>
      </c>
      <c r="T46" s="7">
        <v>0</v>
      </c>
      <c r="U46" s="7">
        <v>0</v>
      </c>
      <c r="V46" s="7">
        <v>11</v>
      </c>
      <c r="W46" s="7">
        <v>0</v>
      </c>
      <c r="X46" s="7">
        <v>1</v>
      </c>
      <c r="Y46" s="7">
        <v>0</v>
      </c>
      <c r="Z46" s="7">
        <v>0</v>
      </c>
      <c r="AA46" s="7">
        <v>0</v>
      </c>
      <c r="AB46" s="7">
        <v>0</v>
      </c>
      <c r="AC46" s="7">
        <v>1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</row>
    <row r="47" spans="1:70" x14ac:dyDescent="0.2">
      <c r="A47" s="7" t="s">
        <v>8</v>
      </c>
      <c r="B47" s="7">
        <v>2</v>
      </c>
      <c r="C47" s="7" t="s">
        <v>3</v>
      </c>
      <c r="D47" s="7" t="s">
        <v>14</v>
      </c>
      <c r="E47" s="7">
        <v>0.95</v>
      </c>
      <c r="F47" s="7">
        <f t="shared" si="0"/>
        <v>0.85</v>
      </c>
      <c r="G47" s="7">
        <v>0</v>
      </c>
      <c r="H47" s="7">
        <v>20</v>
      </c>
      <c r="I47" s="7">
        <f t="shared" si="1"/>
        <v>17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6</v>
      </c>
      <c r="T47" s="7">
        <v>0</v>
      </c>
      <c r="U47" s="7">
        <v>0</v>
      </c>
      <c r="V47" s="7">
        <v>9</v>
      </c>
      <c r="W47" s="7">
        <v>0</v>
      </c>
      <c r="X47" s="7">
        <v>1</v>
      </c>
      <c r="Y47" s="7">
        <v>0</v>
      </c>
      <c r="Z47" s="7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</row>
    <row r="48" spans="1:70" x14ac:dyDescent="0.2">
      <c r="A48" s="7" t="s">
        <v>8</v>
      </c>
      <c r="B48" s="7">
        <v>2</v>
      </c>
      <c r="C48" s="7" t="s">
        <v>3</v>
      </c>
      <c r="D48" s="7" t="s">
        <v>26</v>
      </c>
      <c r="E48" s="7">
        <v>0.9</v>
      </c>
      <c r="F48" s="7">
        <f t="shared" si="0"/>
        <v>0.65</v>
      </c>
      <c r="G48" s="7">
        <v>0</v>
      </c>
      <c r="H48" s="7">
        <v>20</v>
      </c>
      <c r="I48" s="7">
        <f t="shared" si="1"/>
        <v>13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6</v>
      </c>
      <c r="T48" s="7">
        <v>0</v>
      </c>
      <c r="U48" s="7">
        <v>0</v>
      </c>
      <c r="V48" s="7">
        <v>6</v>
      </c>
      <c r="W48" s="7">
        <v>0</v>
      </c>
      <c r="X48" s="7">
        <v>0</v>
      </c>
      <c r="Y48" s="7">
        <v>0</v>
      </c>
      <c r="Z48" s="7">
        <v>1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</row>
    <row r="49" spans="1:70" x14ac:dyDescent="0.2">
      <c r="A49" s="7" t="s">
        <v>8</v>
      </c>
      <c r="B49" s="7">
        <v>2</v>
      </c>
      <c r="C49" s="7" t="s">
        <v>3</v>
      </c>
      <c r="D49" s="7" t="s">
        <v>27</v>
      </c>
      <c r="E49" s="7">
        <v>0.67</v>
      </c>
      <c r="F49" s="7">
        <f t="shared" si="0"/>
        <v>0.8</v>
      </c>
      <c r="G49" s="7">
        <v>0</v>
      </c>
      <c r="H49" s="7">
        <v>20</v>
      </c>
      <c r="I49" s="7">
        <f t="shared" si="1"/>
        <v>16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2</v>
      </c>
      <c r="R49" s="7">
        <v>0</v>
      </c>
      <c r="S49" s="7">
        <v>13</v>
      </c>
      <c r="T49" s="7">
        <v>0</v>
      </c>
      <c r="U49" s="7">
        <v>0</v>
      </c>
      <c r="V49" s="7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</row>
    <row r="50" spans="1:70" x14ac:dyDescent="0.2">
      <c r="A50" s="7" t="s">
        <v>8</v>
      </c>
      <c r="B50" s="7">
        <v>2</v>
      </c>
      <c r="C50" s="7" t="s">
        <v>3</v>
      </c>
      <c r="D50" s="7" t="s">
        <v>37</v>
      </c>
      <c r="E50" s="7">
        <v>0.99</v>
      </c>
      <c r="F50" s="7">
        <f t="shared" si="0"/>
        <v>0.8</v>
      </c>
      <c r="G50" s="7">
        <v>0</v>
      </c>
      <c r="H50" s="7">
        <v>20</v>
      </c>
      <c r="I50" s="7">
        <f t="shared" si="1"/>
        <v>16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4</v>
      </c>
      <c r="T50" s="7">
        <v>0</v>
      </c>
      <c r="U50" s="7">
        <v>0</v>
      </c>
      <c r="V50" s="7">
        <v>9</v>
      </c>
      <c r="W50" s="7">
        <v>0</v>
      </c>
      <c r="X50" s="7">
        <v>3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</row>
    <row r="51" spans="1:70" x14ac:dyDescent="0.2">
      <c r="A51" s="7" t="s">
        <v>8</v>
      </c>
      <c r="B51" s="7">
        <v>2</v>
      </c>
      <c r="C51" s="7" t="s">
        <v>3</v>
      </c>
      <c r="D51" s="7" t="s">
        <v>17</v>
      </c>
      <c r="E51" s="7">
        <v>0.96</v>
      </c>
      <c r="F51" s="7">
        <f t="shared" si="0"/>
        <v>0.8</v>
      </c>
      <c r="G51" s="7">
        <v>0</v>
      </c>
      <c r="H51" s="7">
        <v>20</v>
      </c>
      <c r="I51" s="7">
        <f t="shared" si="1"/>
        <v>16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7</v>
      </c>
      <c r="T51" s="7">
        <v>0</v>
      </c>
      <c r="U51" s="7">
        <v>0</v>
      </c>
      <c r="V51" s="7">
        <v>9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</row>
    <row r="52" spans="1:70" x14ac:dyDescent="0.2">
      <c r="A52" s="7" t="s">
        <v>8</v>
      </c>
      <c r="B52" s="7">
        <v>2</v>
      </c>
      <c r="C52" s="7" t="s">
        <v>3</v>
      </c>
      <c r="D52" s="7" t="s">
        <v>25</v>
      </c>
      <c r="E52" s="7">
        <v>0.78</v>
      </c>
      <c r="F52" s="7">
        <f t="shared" si="0"/>
        <v>1</v>
      </c>
      <c r="G52" s="7">
        <v>2</v>
      </c>
      <c r="H52" s="7">
        <v>20</v>
      </c>
      <c r="I52" s="7">
        <f t="shared" si="1"/>
        <v>18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4</v>
      </c>
      <c r="T52" s="7">
        <v>0</v>
      </c>
      <c r="U52" s="7">
        <v>0</v>
      </c>
      <c r="V52" s="7">
        <v>13</v>
      </c>
      <c r="W52" s="7">
        <v>0</v>
      </c>
      <c r="X52" s="7">
        <v>1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</row>
    <row r="53" spans="1:70" x14ac:dyDescent="0.2">
      <c r="A53" s="7" t="s">
        <v>8</v>
      </c>
      <c r="B53" s="7">
        <v>2</v>
      </c>
      <c r="C53" s="7" t="s">
        <v>3</v>
      </c>
      <c r="D53" s="7" t="s">
        <v>12</v>
      </c>
      <c r="E53" s="7">
        <v>0.75</v>
      </c>
      <c r="F53" s="7">
        <f t="shared" si="0"/>
        <v>0.75</v>
      </c>
      <c r="G53" s="7">
        <v>0</v>
      </c>
      <c r="H53" s="7">
        <v>20</v>
      </c>
      <c r="I53" s="7">
        <f t="shared" si="1"/>
        <v>15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3</v>
      </c>
      <c r="T53" s="7">
        <v>0</v>
      </c>
      <c r="U53" s="7">
        <v>0</v>
      </c>
      <c r="V53" s="7">
        <v>12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</row>
    <row r="54" spans="1:70" x14ac:dyDescent="0.2">
      <c r="A54" s="7" t="s">
        <v>8</v>
      </c>
      <c r="B54" s="7">
        <v>2</v>
      </c>
      <c r="C54" s="7" t="s">
        <v>3</v>
      </c>
      <c r="D54" s="7" t="s">
        <v>40</v>
      </c>
      <c r="E54" s="7">
        <v>0.79</v>
      </c>
      <c r="F54" s="7">
        <f t="shared" si="0"/>
        <v>0.7</v>
      </c>
      <c r="G54" s="7">
        <v>0</v>
      </c>
      <c r="H54" s="7">
        <v>20</v>
      </c>
      <c r="I54" s="7">
        <f t="shared" si="1"/>
        <v>14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12</v>
      </c>
      <c r="T54" s="7">
        <v>0</v>
      </c>
      <c r="U54" s="7">
        <v>0</v>
      </c>
      <c r="V54" s="7">
        <v>1</v>
      </c>
      <c r="W54" s="7">
        <v>0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</row>
    <row r="55" spans="1:70" x14ac:dyDescent="0.2">
      <c r="A55" s="7" t="s">
        <v>8</v>
      </c>
      <c r="B55" s="7">
        <v>2</v>
      </c>
      <c r="C55" s="7" t="s">
        <v>3</v>
      </c>
      <c r="D55" s="7" t="s">
        <v>32</v>
      </c>
      <c r="E55" s="7">
        <v>0.95</v>
      </c>
      <c r="F55" s="7">
        <f t="shared" si="0"/>
        <v>0.8</v>
      </c>
      <c r="G55" s="7">
        <v>0</v>
      </c>
      <c r="H55" s="7">
        <v>20</v>
      </c>
      <c r="I55" s="7">
        <f t="shared" si="1"/>
        <v>16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11</v>
      </c>
      <c r="T55" s="7">
        <v>0</v>
      </c>
      <c r="U55" s="7">
        <v>0</v>
      </c>
      <c r="V55" s="7">
        <v>5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</row>
    <row r="56" spans="1:70" x14ac:dyDescent="0.2">
      <c r="A56" s="7" t="s">
        <v>8</v>
      </c>
      <c r="B56" s="7">
        <v>2</v>
      </c>
      <c r="C56" s="7" t="s">
        <v>3</v>
      </c>
      <c r="D56" s="7" t="s">
        <v>33</v>
      </c>
      <c r="E56" s="7">
        <v>0.84</v>
      </c>
      <c r="F56" s="7">
        <f t="shared" si="0"/>
        <v>0.7</v>
      </c>
      <c r="G56" s="7">
        <v>0</v>
      </c>
      <c r="H56" s="7">
        <v>20</v>
      </c>
      <c r="I56" s="7">
        <f t="shared" si="1"/>
        <v>14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8</v>
      </c>
      <c r="T56" s="7">
        <v>0</v>
      </c>
      <c r="U56" s="7">
        <v>0</v>
      </c>
      <c r="V56" s="7">
        <v>5</v>
      </c>
      <c r="W56" s="7">
        <v>0</v>
      </c>
      <c r="X56" s="7">
        <v>1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</row>
    <row r="57" spans="1:70" x14ac:dyDescent="0.2">
      <c r="A57" s="7" t="s">
        <v>8</v>
      </c>
      <c r="B57" s="7">
        <v>2</v>
      </c>
      <c r="C57" s="7" t="s">
        <v>3</v>
      </c>
      <c r="D57" s="7" t="s">
        <v>13</v>
      </c>
      <c r="E57" s="7">
        <v>0.74</v>
      </c>
      <c r="F57" s="7">
        <f t="shared" si="0"/>
        <v>0.55000000000000004</v>
      </c>
      <c r="G57" s="7">
        <v>0</v>
      </c>
      <c r="H57" s="7">
        <v>20</v>
      </c>
      <c r="I57" s="7">
        <f t="shared" si="1"/>
        <v>11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5</v>
      </c>
      <c r="T57" s="7">
        <v>0</v>
      </c>
      <c r="U57" s="7">
        <v>0</v>
      </c>
      <c r="V57" s="7">
        <v>5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</row>
    <row r="58" spans="1:70" x14ac:dyDescent="0.2">
      <c r="A58" s="7" t="s">
        <v>8</v>
      </c>
      <c r="B58" s="7">
        <v>2</v>
      </c>
      <c r="C58" s="7" t="s">
        <v>3</v>
      </c>
      <c r="D58" s="7" t="s">
        <v>21</v>
      </c>
      <c r="E58" s="7">
        <v>0.12</v>
      </c>
      <c r="F58" s="7">
        <f t="shared" si="0"/>
        <v>0</v>
      </c>
      <c r="G58" s="7">
        <v>0</v>
      </c>
      <c r="H58" s="7">
        <v>20</v>
      </c>
      <c r="I58" s="7">
        <f t="shared" si="1"/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</row>
    <row r="59" spans="1:70" x14ac:dyDescent="0.2">
      <c r="A59" s="7" t="s">
        <v>8</v>
      </c>
      <c r="B59" s="7">
        <v>2</v>
      </c>
      <c r="C59" s="7" t="s">
        <v>3</v>
      </c>
      <c r="D59" s="7" t="s">
        <v>23</v>
      </c>
      <c r="E59" s="7">
        <v>0.72</v>
      </c>
      <c r="F59" s="7">
        <f t="shared" si="0"/>
        <v>0.8</v>
      </c>
      <c r="G59" s="7">
        <v>0</v>
      </c>
      <c r="H59" s="7">
        <v>20</v>
      </c>
      <c r="I59" s="7">
        <f t="shared" si="1"/>
        <v>16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12</v>
      </c>
      <c r="T59" s="7">
        <v>0</v>
      </c>
      <c r="U59" s="7">
        <v>0</v>
      </c>
      <c r="V59" s="7">
        <v>1</v>
      </c>
      <c r="W59" s="7">
        <v>0</v>
      </c>
      <c r="X59" s="7">
        <v>3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</row>
    <row r="60" spans="1:70" x14ac:dyDescent="0.2">
      <c r="A60" s="7" t="s">
        <v>8</v>
      </c>
      <c r="B60" s="7">
        <v>2</v>
      </c>
      <c r="C60" s="7" t="s">
        <v>3</v>
      </c>
      <c r="D60" s="7" t="s">
        <v>45</v>
      </c>
      <c r="E60" s="7">
        <v>0.87</v>
      </c>
      <c r="F60" s="7">
        <f t="shared" si="0"/>
        <v>0.85</v>
      </c>
      <c r="G60" s="7">
        <v>0</v>
      </c>
      <c r="H60" s="7">
        <v>20</v>
      </c>
      <c r="I60" s="7">
        <f t="shared" si="1"/>
        <v>17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17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</row>
    <row r="61" spans="1:70" x14ac:dyDescent="0.2">
      <c r="A61" s="7" t="s">
        <v>8</v>
      </c>
      <c r="B61" s="7">
        <v>2</v>
      </c>
      <c r="C61" s="7" t="s">
        <v>3</v>
      </c>
      <c r="D61" s="7" t="s">
        <v>35</v>
      </c>
      <c r="E61" s="9">
        <v>0.93</v>
      </c>
      <c r="F61" s="7">
        <f t="shared" si="0"/>
        <v>1</v>
      </c>
      <c r="G61" s="7">
        <v>0</v>
      </c>
      <c r="H61" s="7">
        <v>20</v>
      </c>
      <c r="I61" s="7">
        <f t="shared" si="1"/>
        <v>20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11</v>
      </c>
      <c r="T61" s="7">
        <v>0</v>
      </c>
      <c r="U61" s="7">
        <v>0</v>
      </c>
      <c r="V61" s="7">
        <v>9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</row>
    <row r="62" spans="1:70" x14ac:dyDescent="0.2">
      <c r="A62" s="7" t="s">
        <v>9</v>
      </c>
      <c r="B62" s="7">
        <v>2</v>
      </c>
      <c r="C62" s="7" t="s">
        <v>3</v>
      </c>
      <c r="D62" s="7" t="s">
        <v>36</v>
      </c>
      <c r="E62" s="7">
        <v>0.95</v>
      </c>
      <c r="F62" s="7">
        <f t="shared" si="0"/>
        <v>0.75</v>
      </c>
      <c r="G62" s="7">
        <v>0</v>
      </c>
      <c r="H62" s="7">
        <v>20</v>
      </c>
      <c r="I62" s="7">
        <f t="shared" si="1"/>
        <v>15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7</v>
      </c>
      <c r="T62" s="7">
        <v>0</v>
      </c>
      <c r="U62" s="7">
        <v>0</v>
      </c>
      <c r="V62" s="7">
        <v>5</v>
      </c>
      <c r="W62" s="7">
        <v>0</v>
      </c>
      <c r="X62" s="7">
        <v>2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1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</row>
    <row r="63" spans="1:70" x14ac:dyDescent="0.2">
      <c r="A63" s="7" t="s">
        <v>9</v>
      </c>
      <c r="B63" s="7">
        <v>2</v>
      </c>
      <c r="C63" s="7" t="s">
        <v>3</v>
      </c>
      <c r="D63" s="7" t="s">
        <v>27</v>
      </c>
      <c r="E63" s="7">
        <v>0.79</v>
      </c>
      <c r="F63" s="7">
        <f t="shared" si="0"/>
        <v>0.95</v>
      </c>
      <c r="G63" s="7">
        <v>0</v>
      </c>
      <c r="H63" s="7">
        <v>20</v>
      </c>
      <c r="I63" s="7">
        <f t="shared" si="1"/>
        <v>19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15</v>
      </c>
      <c r="T63" s="7">
        <v>0</v>
      </c>
      <c r="U63" s="7">
        <v>0</v>
      </c>
      <c r="V63" s="7">
        <v>4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</row>
    <row r="64" spans="1:70" x14ac:dyDescent="0.2">
      <c r="A64" s="7" t="s">
        <v>9</v>
      </c>
      <c r="B64" s="7">
        <v>2</v>
      </c>
      <c r="C64" s="7" t="s">
        <v>3</v>
      </c>
      <c r="D64" s="7" t="s">
        <v>16</v>
      </c>
      <c r="E64" s="7">
        <v>0.99</v>
      </c>
      <c r="F64" s="7">
        <f t="shared" si="0"/>
        <v>0.95</v>
      </c>
      <c r="G64" s="7">
        <v>0</v>
      </c>
      <c r="H64" s="7">
        <v>20</v>
      </c>
      <c r="I64" s="7">
        <f t="shared" si="1"/>
        <v>19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12</v>
      </c>
      <c r="T64" s="7">
        <v>0</v>
      </c>
      <c r="U64" s="7">
        <v>0</v>
      </c>
      <c r="V64" s="7">
        <v>4</v>
      </c>
      <c r="W64" s="7">
        <v>0</v>
      </c>
      <c r="X64" s="7">
        <v>2</v>
      </c>
      <c r="Y64" s="7">
        <v>0</v>
      </c>
      <c r="Z64" s="7">
        <v>1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</row>
    <row r="65" spans="1:70" x14ac:dyDescent="0.2">
      <c r="A65" s="7" t="s">
        <v>9</v>
      </c>
      <c r="B65" s="7">
        <v>2</v>
      </c>
      <c r="C65" s="7" t="s">
        <v>3</v>
      </c>
      <c r="D65" s="7" t="s">
        <v>37</v>
      </c>
      <c r="E65" s="7">
        <v>0.94</v>
      </c>
      <c r="F65" s="7">
        <f t="shared" si="0"/>
        <v>0.85</v>
      </c>
      <c r="G65" s="7">
        <v>0</v>
      </c>
      <c r="H65" s="7">
        <v>20</v>
      </c>
      <c r="I65" s="7">
        <f t="shared" si="1"/>
        <v>17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1</v>
      </c>
      <c r="T65" s="7">
        <v>0</v>
      </c>
      <c r="U65" s="7">
        <v>0</v>
      </c>
      <c r="V65" s="7">
        <v>11</v>
      </c>
      <c r="W65" s="7">
        <v>0</v>
      </c>
      <c r="X65" s="7">
        <v>2</v>
      </c>
      <c r="Y65" s="7">
        <v>0</v>
      </c>
      <c r="Z65" s="7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2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</row>
    <row r="66" spans="1:70" x14ac:dyDescent="0.2">
      <c r="A66" s="7" t="s">
        <v>9</v>
      </c>
      <c r="B66" s="7">
        <v>2</v>
      </c>
      <c r="C66" s="7" t="s">
        <v>3</v>
      </c>
      <c r="D66" s="7" t="s">
        <v>29</v>
      </c>
      <c r="E66" s="7">
        <v>0.96</v>
      </c>
      <c r="F66" s="7">
        <f t="shared" si="0"/>
        <v>0.9</v>
      </c>
      <c r="G66" s="7">
        <v>0</v>
      </c>
      <c r="H66" s="7">
        <v>20</v>
      </c>
      <c r="I66" s="7">
        <f t="shared" si="1"/>
        <v>18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2</v>
      </c>
      <c r="R66" s="7">
        <v>0</v>
      </c>
      <c r="S66" s="7">
        <v>5</v>
      </c>
      <c r="T66" s="7">
        <v>0</v>
      </c>
      <c r="U66" s="7">
        <v>0</v>
      </c>
      <c r="V66" s="7">
        <v>10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1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</row>
    <row r="67" spans="1:70" x14ac:dyDescent="0.2">
      <c r="A67" s="7" t="s">
        <v>9</v>
      </c>
      <c r="B67" s="7">
        <v>2</v>
      </c>
      <c r="C67" s="7" t="s">
        <v>3</v>
      </c>
      <c r="D67" s="7" t="s">
        <v>19</v>
      </c>
      <c r="E67" s="7">
        <v>0.91</v>
      </c>
      <c r="F67" s="7">
        <f t="shared" ref="F67:F91" si="2">(G67+I67)/20</f>
        <v>0.95</v>
      </c>
      <c r="G67" s="7">
        <v>0</v>
      </c>
      <c r="H67" s="7">
        <v>20</v>
      </c>
      <c r="I67" s="7">
        <f t="shared" ref="I67:I91" si="3">SUM(J67:AQ67)</f>
        <v>19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19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</row>
    <row r="68" spans="1:70" x14ac:dyDescent="0.2">
      <c r="A68" s="7" t="s">
        <v>9</v>
      </c>
      <c r="B68" s="7">
        <v>2</v>
      </c>
      <c r="C68" s="7" t="s">
        <v>3</v>
      </c>
      <c r="D68" s="7" t="s">
        <v>25</v>
      </c>
      <c r="E68" s="7">
        <v>0.93</v>
      </c>
      <c r="F68" s="7">
        <f t="shared" si="2"/>
        <v>0.9</v>
      </c>
      <c r="G68" s="7">
        <v>0</v>
      </c>
      <c r="H68" s="7">
        <v>20</v>
      </c>
      <c r="I68" s="7">
        <f t="shared" si="3"/>
        <v>18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3</v>
      </c>
      <c r="T68" s="7">
        <v>0</v>
      </c>
      <c r="U68" s="7">
        <v>0</v>
      </c>
      <c r="V68" s="7">
        <v>11</v>
      </c>
      <c r="W68" s="7">
        <v>0</v>
      </c>
      <c r="X68" s="7">
        <v>2</v>
      </c>
      <c r="Y68" s="7">
        <v>0</v>
      </c>
      <c r="Z68" s="7">
        <v>0</v>
      </c>
      <c r="AA68" s="7">
        <v>0</v>
      </c>
      <c r="AB68" s="7">
        <v>0</v>
      </c>
      <c r="AC68" s="7">
        <v>2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</row>
    <row r="69" spans="1:70" x14ac:dyDescent="0.2">
      <c r="A69" s="7" t="s">
        <v>9</v>
      </c>
      <c r="B69" s="7">
        <v>2</v>
      </c>
      <c r="C69" s="7" t="s">
        <v>3</v>
      </c>
      <c r="D69" s="7" t="s">
        <v>39</v>
      </c>
      <c r="E69" s="7">
        <v>0.92</v>
      </c>
      <c r="F69" s="7">
        <f t="shared" si="2"/>
        <v>0.85</v>
      </c>
      <c r="G69" s="7">
        <v>0</v>
      </c>
      <c r="H69" s="7">
        <v>20</v>
      </c>
      <c r="I69" s="7">
        <f t="shared" si="3"/>
        <v>17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1</v>
      </c>
      <c r="T69" s="7">
        <v>0</v>
      </c>
      <c r="U69" s="7">
        <v>0</v>
      </c>
      <c r="V69" s="7">
        <v>9</v>
      </c>
      <c r="W69" s="7">
        <v>0</v>
      </c>
      <c r="X69" s="7">
        <v>5</v>
      </c>
      <c r="Y69" s="7">
        <v>0</v>
      </c>
      <c r="Z69" s="7">
        <v>1</v>
      </c>
      <c r="AA69" s="7">
        <v>0</v>
      </c>
      <c r="AB69" s="7">
        <v>0</v>
      </c>
      <c r="AC69" s="7">
        <v>1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</row>
    <row r="70" spans="1:70" x14ac:dyDescent="0.2">
      <c r="A70" s="7" t="s">
        <v>9</v>
      </c>
      <c r="B70" s="7">
        <v>2</v>
      </c>
      <c r="C70" s="7" t="s">
        <v>3</v>
      </c>
      <c r="D70" s="7" t="s">
        <v>32</v>
      </c>
      <c r="E70" s="7">
        <v>0.95</v>
      </c>
      <c r="F70" s="7">
        <f t="shared" si="2"/>
        <v>0.95</v>
      </c>
      <c r="G70" s="7">
        <v>0</v>
      </c>
      <c r="H70" s="7">
        <v>20</v>
      </c>
      <c r="I70" s="7">
        <f t="shared" si="3"/>
        <v>19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16</v>
      </c>
      <c r="T70" s="7">
        <v>0</v>
      </c>
      <c r="U70" s="7">
        <v>0</v>
      </c>
      <c r="V70" s="7">
        <v>3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</row>
    <row r="71" spans="1:70" x14ac:dyDescent="0.2">
      <c r="A71" s="7" t="s">
        <v>9</v>
      </c>
      <c r="B71" s="7">
        <v>2</v>
      </c>
      <c r="C71" s="7" t="s">
        <v>3</v>
      </c>
      <c r="D71" s="7" t="s">
        <v>13</v>
      </c>
      <c r="E71" s="7">
        <v>0.84</v>
      </c>
      <c r="F71" s="7">
        <f t="shared" si="2"/>
        <v>0.65</v>
      </c>
      <c r="G71" s="7">
        <v>1</v>
      </c>
      <c r="H71" s="7">
        <v>20</v>
      </c>
      <c r="I71" s="7">
        <f t="shared" si="3"/>
        <v>12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5</v>
      </c>
      <c r="T71" s="7">
        <v>0</v>
      </c>
      <c r="U71" s="7">
        <v>0</v>
      </c>
      <c r="V71" s="7">
        <v>7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</row>
    <row r="72" spans="1:70" x14ac:dyDescent="0.2">
      <c r="A72" s="7" t="s">
        <v>9</v>
      </c>
      <c r="B72" s="7">
        <v>2</v>
      </c>
      <c r="C72" s="7" t="s">
        <v>3</v>
      </c>
      <c r="D72" s="7" t="s">
        <v>43</v>
      </c>
      <c r="E72" s="7">
        <v>0.79</v>
      </c>
      <c r="F72" s="7">
        <f t="shared" si="2"/>
        <v>0.75</v>
      </c>
      <c r="G72" s="7">
        <v>0</v>
      </c>
      <c r="H72" s="7">
        <v>20</v>
      </c>
      <c r="I72" s="7">
        <f t="shared" si="3"/>
        <v>15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9</v>
      </c>
      <c r="T72" s="7">
        <v>0</v>
      </c>
      <c r="U72" s="7">
        <v>0</v>
      </c>
      <c r="V72" s="7">
        <v>6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</row>
    <row r="73" spans="1:70" x14ac:dyDescent="0.2">
      <c r="A73" s="7" t="s">
        <v>9</v>
      </c>
      <c r="B73" s="7">
        <v>2</v>
      </c>
      <c r="C73" s="7" t="s">
        <v>3</v>
      </c>
      <c r="D73" s="7" t="s">
        <v>22</v>
      </c>
      <c r="E73" s="7">
        <v>0.85</v>
      </c>
      <c r="F73" s="7">
        <f t="shared" si="2"/>
        <v>0.6</v>
      </c>
      <c r="G73" s="7">
        <v>0</v>
      </c>
      <c r="H73" s="7">
        <v>20</v>
      </c>
      <c r="I73" s="7">
        <f t="shared" si="3"/>
        <v>12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12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</row>
    <row r="74" spans="1:70" x14ac:dyDescent="0.2">
      <c r="A74" s="7" t="s">
        <v>9</v>
      </c>
      <c r="B74" s="7">
        <v>2</v>
      </c>
      <c r="C74" s="7" t="s">
        <v>3</v>
      </c>
      <c r="D74" s="7" t="s">
        <v>34</v>
      </c>
      <c r="E74" s="7">
        <v>0.97</v>
      </c>
      <c r="F74" s="7">
        <f t="shared" si="2"/>
        <v>0.9</v>
      </c>
      <c r="G74" s="7">
        <v>0</v>
      </c>
      <c r="H74" s="7">
        <v>20</v>
      </c>
      <c r="I74" s="7">
        <f t="shared" si="3"/>
        <v>18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3</v>
      </c>
      <c r="R74" s="7">
        <v>0</v>
      </c>
      <c r="S74" s="7">
        <v>13</v>
      </c>
      <c r="T74" s="7">
        <v>0</v>
      </c>
      <c r="U74" s="7">
        <v>0</v>
      </c>
      <c r="V74" s="7">
        <v>2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</row>
    <row r="75" spans="1:70" x14ac:dyDescent="0.2">
      <c r="A75" s="7" t="s">
        <v>9</v>
      </c>
      <c r="B75" s="7">
        <v>2</v>
      </c>
      <c r="C75" s="7" t="s">
        <v>3</v>
      </c>
      <c r="D75" s="7" t="s">
        <v>35</v>
      </c>
      <c r="E75" s="7">
        <v>0.93</v>
      </c>
      <c r="F75" s="7">
        <f t="shared" si="2"/>
        <v>1</v>
      </c>
      <c r="G75" s="7">
        <v>0</v>
      </c>
      <c r="H75" s="7">
        <v>20</v>
      </c>
      <c r="I75" s="7">
        <f t="shared" si="3"/>
        <v>20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20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</row>
    <row r="76" spans="1:70" x14ac:dyDescent="0.2">
      <c r="A76" s="7" t="s">
        <v>9</v>
      </c>
      <c r="B76" s="7">
        <v>2</v>
      </c>
      <c r="C76" s="7" t="s">
        <v>3</v>
      </c>
      <c r="D76" s="7" t="s">
        <v>44</v>
      </c>
      <c r="E76" s="9">
        <v>0.88</v>
      </c>
      <c r="F76" s="7">
        <f t="shared" si="2"/>
        <v>0.8</v>
      </c>
      <c r="G76" s="7">
        <v>0</v>
      </c>
      <c r="H76" s="7">
        <v>20</v>
      </c>
      <c r="I76" s="7">
        <f t="shared" si="3"/>
        <v>16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8</v>
      </c>
      <c r="T76" s="7">
        <v>0</v>
      </c>
      <c r="U76" s="7">
        <v>0</v>
      </c>
      <c r="V76" s="7">
        <v>5</v>
      </c>
      <c r="W76" s="7">
        <v>0</v>
      </c>
      <c r="X76" s="7">
        <v>2</v>
      </c>
      <c r="Y76" s="7">
        <v>0</v>
      </c>
      <c r="Z76" s="7">
        <v>1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</row>
    <row r="77" spans="1:70" x14ac:dyDescent="0.2">
      <c r="A77" s="7" t="s">
        <v>10</v>
      </c>
      <c r="B77" s="7">
        <v>2</v>
      </c>
      <c r="C77" s="7" t="s">
        <v>3</v>
      </c>
      <c r="D77" s="7" t="s">
        <v>46</v>
      </c>
      <c r="E77" s="7">
        <v>0.92</v>
      </c>
      <c r="F77" s="7">
        <f t="shared" si="2"/>
        <v>0.9</v>
      </c>
      <c r="G77" s="7">
        <v>0</v>
      </c>
      <c r="H77" s="7">
        <v>20</v>
      </c>
      <c r="I77" s="7">
        <f t="shared" si="3"/>
        <v>18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12</v>
      </c>
      <c r="T77" s="7">
        <v>0</v>
      </c>
      <c r="U77" s="7">
        <v>0</v>
      </c>
      <c r="V77" s="7">
        <v>3</v>
      </c>
      <c r="W77" s="7">
        <v>0</v>
      </c>
      <c r="X77" s="7">
        <v>1</v>
      </c>
      <c r="Y77" s="7">
        <v>0</v>
      </c>
      <c r="Z77" s="7">
        <v>0</v>
      </c>
      <c r="AA77" s="7">
        <v>0</v>
      </c>
      <c r="AB77" s="7">
        <v>0</v>
      </c>
      <c r="AC77" s="7">
        <v>2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</row>
    <row r="78" spans="1:70" x14ac:dyDescent="0.2">
      <c r="A78" s="7" t="s">
        <v>10</v>
      </c>
      <c r="B78" s="7">
        <v>2</v>
      </c>
      <c r="C78" s="7" t="s">
        <v>3</v>
      </c>
      <c r="D78" s="7" t="s">
        <v>26</v>
      </c>
      <c r="E78" s="7">
        <v>1</v>
      </c>
      <c r="F78" s="7">
        <f t="shared" si="2"/>
        <v>0.95</v>
      </c>
      <c r="G78" s="7">
        <v>0</v>
      </c>
      <c r="H78" s="7">
        <v>20</v>
      </c>
      <c r="I78" s="7">
        <f t="shared" si="3"/>
        <v>19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3</v>
      </c>
      <c r="T78" s="7">
        <v>0</v>
      </c>
      <c r="U78" s="7">
        <v>0</v>
      </c>
      <c r="V78" s="7">
        <v>15</v>
      </c>
      <c r="W78" s="7">
        <v>0</v>
      </c>
      <c r="X78" s="7">
        <v>1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</row>
    <row r="79" spans="1:70" x14ac:dyDescent="0.2">
      <c r="A79" s="7" t="s">
        <v>10</v>
      </c>
      <c r="B79" s="7">
        <v>2</v>
      </c>
      <c r="C79" s="7" t="s">
        <v>3</v>
      </c>
      <c r="D79" s="7" t="s">
        <v>28</v>
      </c>
      <c r="E79" s="7">
        <v>0.67</v>
      </c>
      <c r="F79" s="7">
        <f t="shared" si="2"/>
        <v>0.9</v>
      </c>
      <c r="G79" s="7">
        <v>0</v>
      </c>
      <c r="H79" s="7">
        <v>20</v>
      </c>
      <c r="I79" s="7">
        <f t="shared" si="3"/>
        <v>18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12</v>
      </c>
      <c r="W79" s="7">
        <v>0</v>
      </c>
      <c r="X79" s="7">
        <v>6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</row>
    <row r="80" spans="1:70" x14ac:dyDescent="0.2">
      <c r="A80" s="7" t="s">
        <v>10</v>
      </c>
      <c r="B80" s="7">
        <v>2</v>
      </c>
      <c r="C80" s="7" t="s">
        <v>3</v>
      </c>
      <c r="D80" s="7" t="s">
        <v>17</v>
      </c>
      <c r="E80" s="7">
        <v>0.89</v>
      </c>
      <c r="F80" s="7">
        <f t="shared" si="2"/>
        <v>0.85</v>
      </c>
      <c r="G80" s="7">
        <v>0</v>
      </c>
      <c r="H80" s="7">
        <v>20</v>
      </c>
      <c r="I80" s="7">
        <f t="shared" si="3"/>
        <v>17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7">
        <v>0</v>
      </c>
      <c r="V80" s="7">
        <v>10</v>
      </c>
      <c r="W80" s="7">
        <v>0</v>
      </c>
      <c r="X80" s="7">
        <v>4</v>
      </c>
      <c r="Y80" s="7">
        <v>0</v>
      </c>
      <c r="Z80" s="7">
        <v>2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</row>
    <row r="81" spans="1:70" x14ac:dyDescent="0.2">
      <c r="A81" s="7" t="s">
        <v>10</v>
      </c>
      <c r="B81" s="7">
        <v>2</v>
      </c>
      <c r="C81" s="7" t="s">
        <v>3</v>
      </c>
      <c r="D81" s="7" t="s">
        <v>29</v>
      </c>
      <c r="E81" s="7">
        <v>0.78</v>
      </c>
      <c r="F81" s="7">
        <f t="shared" si="2"/>
        <v>0.8</v>
      </c>
      <c r="G81" s="7">
        <v>0</v>
      </c>
      <c r="H81" s="7">
        <v>20</v>
      </c>
      <c r="I81" s="7">
        <f t="shared" si="3"/>
        <v>16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11</v>
      </c>
      <c r="T81" s="7">
        <v>0</v>
      </c>
      <c r="U81" s="7">
        <v>0</v>
      </c>
      <c r="V81" s="7">
        <v>3</v>
      </c>
      <c r="W81" s="7">
        <v>0</v>
      </c>
      <c r="X81" s="7">
        <v>2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</row>
    <row r="82" spans="1:70" x14ac:dyDescent="0.2">
      <c r="A82" s="7" t="s">
        <v>10</v>
      </c>
      <c r="B82" s="7">
        <v>2</v>
      </c>
      <c r="C82" s="7" t="s">
        <v>3</v>
      </c>
      <c r="D82" s="7" t="s">
        <v>18</v>
      </c>
      <c r="E82" s="7">
        <v>0.91</v>
      </c>
      <c r="F82" s="7">
        <f t="shared" si="2"/>
        <v>1</v>
      </c>
      <c r="G82" s="7">
        <v>0</v>
      </c>
      <c r="H82" s="7">
        <v>20</v>
      </c>
      <c r="I82" s="7">
        <f t="shared" si="3"/>
        <v>20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15</v>
      </c>
      <c r="T82" s="7">
        <v>0</v>
      </c>
      <c r="U82" s="7">
        <v>0</v>
      </c>
      <c r="V82" s="7">
        <v>5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</row>
    <row r="83" spans="1:70" x14ac:dyDescent="0.2">
      <c r="A83" s="7" t="s">
        <v>10</v>
      </c>
      <c r="B83" s="7">
        <v>2</v>
      </c>
      <c r="C83" s="7" t="s">
        <v>3</v>
      </c>
      <c r="D83" s="7" t="s">
        <v>38</v>
      </c>
      <c r="E83" s="7">
        <v>0.95</v>
      </c>
      <c r="F83" s="7">
        <f t="shared" si="2"/>
        <v>0.8</v>
      </c>
      <c r="G83" s="7">
        <v>0</v>
      </c>
      <c r="H83" s="7">
        <v>20</v>
      </c>
      <c r="I83" s="7">
        <f t="shared" si="3"/>
        <v>16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10</v>
      </c>
      <c r="T83" s="7">
        <v>0</v>
      </c>
      <c r="U83" s="7">
        <v>0</v>
      </c>
      <c r="V83" s="7">
        <v>3</v>
      </c>
      <c r="W83" s="7">
        <v>0</v>
      </c>
      <c r="X83" s="7">
        <v>3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</row>
    <row r="84" spans="1:70" s="3" customFormat="1" x14ac:dyDescent="0.2">
      <c r="A84" s="7" t="s">
        <v>10</v>
      </c>
      <c r="B84" s="7">
        <v>2</v>
      </c>
      <c r="C84" s="7" t="s">
        <v>3</v>
      </c>
      <c r="D84" s="7" t="s">
        <v>24</v>
      </c>
      <c r="E84" s="7">
        <v>0.95</v>
      </c>
      <c r="F84" s="7">
        <f t="shared" si="2"/>
        <v>0.75</v>
      </c>
      <c r="G84" s="7">
        <v>1</v>
      </c>
      <c r="H84" s="7">
        <v>20</v>
      </c>
      <c r="I84" s="7">
        <f t="shared" si="3"/>
        <v>14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5</v>
      </c>
      <c r="T84" s="7">
        <v>0</v>
      </c>
      <c r="U84" s="7">
        <v>0</v>
      </c>
      <c r="V84" s="7">
        <v>6</v>
      </c>
      <c r="W84" s="7">
        <v>0</v>
      </c>
      <c r="X84" s="7">
        <v>2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1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1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</row>
    <row r="85" spans="1:70" x14ac:dyDescent="0.2">
      <c r="A85" s="7" t="s">
        <v>10</v>
      </c>
      <c r="B85" s="7">
        <v>2</v>
      </c>
      <c r="C85" s="7" t="s">
        <v>3</v>
      </c>
      <c r="D85" s="7" t="s">
        <v>12</v>
      </c>
      <c r="E85" s="7">
        <v>0.75</v>
      </c>
      <c r="F85" s="7">
        <f t="shared" si="2"/>
        <v>0.65</v>
      </c>
      <c r="G85" s="7">
        <v>0</v>
      </c>
      <c r="H85" s="7">
        <v>20</v>
      </c>
      <c r="I85" s="7">
        <f t="shared" si="3"/>
        <v>13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10</v>
      </c>
      <c r="W85" s="7">
        <v>0</v>
      </c>
      <c r="X85" s="7">
        <v>2</v>
      </c>
      <c r="Y85" s="7">
        <v>0</v>
      </c>
      <c r="Z85" s="7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</row>
    <row r="86" spans="1:70" x14ac:dyDescent="0.2">
      <c r="A86" s="7" t="s">
        <v>10</v>
      </c>
      <c r="B86" s="7">
        <v>2</v>
      </c>
      <c r="C86" s="7" t="s">
        <v>3</v>
      </c>
      <c r="D86" s="7" t="s">
        <v>33</v>
      </c>
      <c r="E86" s="7">
        <v>0.84</v>
      </c>
      <c r="F86" s="7">
        <f t="shared" si="2"/>
        <v>0.9</v>
      </c>
      <c r="G86" s="7">
        <v>0</v>
      </c>
      <c r="H86" s="7">
        <v>20</v>
      </c>
      <c r="I86" s="7">
        <f t="shared" si="3"/>
        <v>18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5</v>
      </c>
      <c r="T86" s="7">
        <v>0</v>
      </c>
      <c r="U86" s="7">
        <v>0</v>
      </c>
      <c r="V86" s="7">
        <v>13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</row>
    <row r="87" spans="1:70" x14ac:dyDescent="0.2">
      <c r="A87" s="7" t="s">
        <v>10</v>
      </c>
      <c r="B87" s="7">
        <v>2</v>
      </c>
      <c r="C87" s="7" t="s">
        <v>3</v>
      </c>
      <c r="D87" s="7" t="s">
        <v>41</v>
      </c>
      <c r="E87" s="7">
        <v>0.96</v>
      </c>
      <c r="F87" s="7">
        <f t="shared" si="2"/>
        <v>0.9</v>
      </c>
      <c r="G87" s="7">
        <v>0</v>
      </c>
      <c r="H87" s="7">
        <v>20</v>
      </c>
      <c r="I87" s="7">
        <f t="shared" si="3"/>
        <v>18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16</v>
      </c>
      <c r="W87" s="7">
        <v>0</v>
      </c>
      <c r="X87" s="7">
        <v>2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</row>
    <row r="88" spans="1:70" x14ac:dyDescent="0.2">
      <c r="A88" s="7" t="s">
        <v>10</v>
      </c>
      <c r="B88" s="7">
        <v>2</v>
      </c>
      <c r="C88" s="7" t="s">
        <v>3</v>
      </c>
      <c r="D88" s="7" t="s">
        <v>47</v>
      </c>
      <c r="E88" s="7">
        <v>0.73</v>
      </c>
      <c r="F88" s="7">
        <f t="shared" si="2"/>
        <v>0.85</v>
      </c>
      <c r="G88" s="7">
        <v>0</v>
      </c>
      <c r="H88" s="7">
        <v>20</v>
      </c>
      <c r="I88" s="7">
        <f t="shared" si="3"/>
        <v>17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9</v>
      </c>
      <c r="T88" s="7">
        <v>0</v>
      </c>
      <c r="U88" s="7">
        <v>0</v>
      </c>
      <c r="V88" s="7">
        <v>8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</row>
    <row r="89" spans="1:70" x14ac:dyDescent="0.2">
      <c r="A89" s="7" t="s">
        <v>10</v>
      </c>
      <c r="B89" s="7">
        <v>2</v>
      </c>
      <c r="C89" s="7" t="s">
        <v>3</v>
      </c>
      <c r="D89" s="7" t="s">
        <v>23</v>
      </c>
      <c r="E89" s="7">
        <v>0.72</v>
      </c>
      <c r="F89" s="7">
        <f t="shared" si="2"/>
        <v>0.7</v>
      </c>
      <c r="G89" s="7">
        <v>0</v>
      </c>
      <c r="H89" s="7">
        <v>20</v>
      </c>
      <c r="I89" s="7">
        <f t="shared" si="3"/>
        <v>14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3</v>
      </c>
      <c r="T89" s="7">
        <v>0</v>
      </c>
      <c r="U89" s="7">
        <v>0</v>
      </c>
      <c r="V89" s="7">
        <v>8</v>
      </c>
      <c r="W89" s="7">
        <v>0</v>
      </c>
      <c r="X89" s="7">
        <v>3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</row>
    <row r="90" spans="1:70" x14ac:dyDescent="0.2">
      <c r="A90" s="7" t="s">
        <v>10</v>
      </c>
      <c r="B90" s="7">
        <v>2</v>
      </c>
      <c r="C90" s="7" t="s">
        <v>3</v>
      </c>
      <c r="D90" s="7" t="s">
        <v>34</v>
      </c>
      <c r="E90" s="7">
        <v>0.97</v>
      </c>
      <c r="F90" s="7">
        <f t="shared" si="2"/>
        <v>0.9</v>
      </c>
      <c r="G90" s="7">
        <v>0</v>
      </c>
      <c r="H90" s="7">
        <v>20</v>
      </c>
      <c r="I90" s="7">
        <f t="shared" si="3"/>
        <v>18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8</v>
      </c>
      <c r="T90" s="7">
        <v>0</v>
      </c>
      <c r="U90" s="7">
        <v>0</v>
      </c>
      <c r="V90" s="7">
        <v>10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</row>
    <row r="91" spans="1:70" x14ac:dyDescent="0.2">
      <c r="A91" s="7" t="s">
        <v>10</v>
      </c>
      <c r="B91" s="7">
        <v>2</v>
      </c>
      <c r="C91" s="7" t="s">
        <v>3</v>
      </c>
      <c r="D91" s="7" t="s">
        <v>45</v>
      </c>
      <c r="E91" s="7">
        <v>0.87</v>
      </c>
      <c r="F91" s="7">
        <f t="shared" si="2"/>
        <v>0.75</v>
      </c>
      <c r="G91" s="7">
        <v>0</v>
      </c>
      <c r="H91" s="7">
        <v>20</v>
      </c>
      <c r="I91" s="7">
        <f t="shared" si="3"/>
        <v>15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6</v>
      </c>
      <c r="T91" s="7">
        <v>0</v>
      </c>
      <c r="U91" s="7">
        <v>0</v>
      </c>
      <c r="V91" s="7">
        <v>8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1477-8FF1-4817-AABD-0828C8B7D2FB}">
  <dimension ref="A1:BS92"/>
  <sheetViews>
    <sheetView topLeftCell="A63" zoomScale="113" zoomScaleNormal="140" workbookViewId="0">
      <selection activeCell="F78" sqref="A1:BR91"/>
    </sheetView>
  </sheetViews>
  <sheetFormatPr baseColWidth="10" defaultColWidth="8.83203125" defaultRowHeight="15" x14ac:dyDescent="0.2"/>
  <cols>
    <col min="1" max="1" width="11.1640625" bestFit="1" customWidth="1"/>
    <col min="3" max="3" width="13.5" bestFit="1" customWidth="1"/>
    <col min="6" max="8" width="13.5" customWidth="1"/>
    <col min="10" max="35" width="8.83203125" customWidth="1"/>
    <col min="37" max="37" width="8.83203125" style="2"/>
  </cols>
  <sheetData>
    <row r="1" spans="1:71" s="1" customFormat="1" ht="64" x14ac:dyDescent="0.2">
      <c r="A1" s="5" t="s">
        <v>2</v>
      </c>
      <c r="B1" s="5" t="s">
        <v>5</v>
      </c>
      <c r="C1" s="5" t="s">
        <v>0</v>
      </c>
      <c r="D1" s="6" t="s">
        <v>125</v>
      </c>
      <c r="E1" s="6" t="s">
        <v>126</v>
      </c>
      <c r="F1" s="5" t="s">
        <v>124</v>
      </c>
      <c r="G1" s="5" t="s">
        <v>188</v>
      </c>
      <c r="H1" s="5" t="s">
        <v>121</v>
      </c>
      <c r="I1" s="5" t="s">
        <v>1</v>
      </c>
      <c r="J1" s="5" t="s">
        <v>127</v>
      </c>
      <c r="K1" s="5" t="s">
        <v>128</v>
      </c>
      <c r="L1" s="5" t="s">
        <v>129</v>
      </c>
      <c r="M1" s="5" t="s">
        <v>130</v>
      </c>
      <c r="N1" s="5" t="s">
        <v>131</v>
      </c>
      <c r="O1" s="5" t="s">
        <v>132</v>
      </c>
      <c r="P1" s="5" t="s">
        <v>133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138</v>
      </c>
      <c r="V1" s="5" t="s">
        <v>139</v>
      </c>
      <c r="W1" s="5" t="s">
        <v>140</v>
      </c>
      <c r="X1" s="5" t="s">
        <v>141</v>
      </c>
      <c r="Y1" s="5" t="s">
        <v>142</v>
      </c>
      <c r="Z1" s="5" t="s">
        <v>143</v>
      </c>
      <c r="AA1" s="5" t="s">
        <v>144</v>
      </c>
      <c r="AB1" s="5" t="s">
        <v>145</v>
      </c>
      <c r="AC1" s="5" t="s">
        <v>146</v>
      </c>
      <c r="AD1" s="5" t="s">
        <v>147</v>
      </c>
      <c r="AE1" s="5" t="s">
        <v>148</v>
      </c>
      <c r="AF1" s="5" t="s">
        <v>149</v>
      </c>
      <c r="AG1" s="5" t="s">
        <v>150</v>
      </c>
      <c r="AH1" s="5" t="s">
        <v>151</v>
      </c>
      <c r="AI1" s="5" t="s">
        <v>152</v>
      </c>
      <c r="AJ1" s="5" t="s">
        <v>153</v>
      </c>
      <c r="AK1" s="5" t="s">
        <v>154</v>
      </c>
      <c r="AL1" s="5" t="s">
        <v>155</v>
      </c>
      <c r="AM1" s="5" t="s">
        <v>156</v>
      </c>
      <c r="AN1" s="5" t="s">
        <v>157</v>
      </c>
      <c r="AO1" s="5" t="s">
        <v>158</v>
      </c>
      <c r="AP1" s="5" t="s">
        <v>159</v>
      </c>
      <c r="AQ1" s="5" t="s">
        <v>160</v>
      </c>
      <c r="AR1" s="5" t="s">
        <v>161</v>
      </c>
      <c r="AS1" s="5" t="s">
        <v>162</v>
      </c>
      <c r="AT1" s="5" t="s">
        <v>163</v>
      </c>
      <c r="AU1" s="5" t="s">
        <v>164</v>
      </c>
      <c r="AV1" s="5" t="s">
        <v>165</v>
      </c>
      <c r="AW1" s="5" t="s">
        <v>166</v>
      </c>
      <c r="AX1" s="5" t="s">
        <v>167</v>
      </c>
      <c r="AY1" s="5" t="s">
        <v>168</v>
      </c>
      <c r="AZ1" s="5" t="s">
        <v>169</v>
      </c>
      <c r="BA1" s="5" t="s">
        <v>170</v>
      </c>
      <c r="BB1" s="5" t="s">
        <v>171</v>
      </c>
      <c r="BC1" s="5" t="s">
        <v>172</v>
      </c>
      <c r="BD1" s="5" t="s">
        <v>173</v>
      </c>
      <c r="BE1" s="5" t="s">
        <v>174</v>
      </c>
      <c r="BF1" s="5" t="s">
        <v>175</v>
      </c>
      <c r="BG1" s="5" t="s">
        <v>176</v>
      </c>
      <c r="BH1" s="5" t="s">
        <v>177</v>
      </c>
      <c r="BI1" s="5" t="s">
        <v>178</v>
      </c>
      <c r="BJ1" s="5" t="s">
        <v>179</v>
      </c>
      <c r="BK1" s="5" t="s">
        <v>180</v>
      </c>
      <c r="BL1" s="5" t="s">
        <v>181</v>
      </c>
      <c r="BM1" s="5" t="s">
        <v>182</v>
      </c>
      <c r="BN1" s="5" t="s">
        <v>183</v>
      </c>
      <c r="BO1" s="5" t="s">
        <v>184</v>
      </c>
      <c r="BP1" s="5" t="s">
        <v>185</v>
      </c>
      <c r="BQ1" s="5" t="s">
        <v>186</v>
      </c>
      <c r="BR1" s="5" t="s">
        <v>187</v>
      </c>
    </row>
    <row r="2" spans="1:71" x14ac:dyDescent="0.2">
      <c r="A2" s="7" t="s">
        <v>4</v>
      </c>
      <c r="B2" s="7">
        <v>2</v>
      </c>
      <c r="C2" s="7" t="s">
        <v>48</v>
      </c>
      <c r="D2" s="8">
        <v>0.86</v>
      </c>
      <c r="E2" s="7">
        <f>(F2+H2)/20</f>
        <v>0.65</v>
      </c>
      <c r="F2" s="7">
        <v>1</v>
      </c>
      <c r="G2" s="7">
        <v>20</v>
      </c>
      <c r="H2" s="7">
        <f>SUM(J2:AQ2)</f>
        <v>12</v>
      </c>
      <c r="I2" s="7" t="s">
        <v>50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6</v>
      </c>
      <c r="R2" s="7">
        <v>0</v>
      </c>
      <c r="S2" s="7">
        <v>6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</row>
    <row r="3" spans="1:71" x14ac:dyDescent="0.2">
      <c r="A3" s="7" t="s">
        <v>4</v>
      </c>
      <c r="B3" s="7">
        <v>2</v>
      </c>
      <c r="C3" s="7" t="s">
        <v>48</v>
      </c>
      <c r="D3" s="7">
        <v>0.93</v>
      </c>
      <c r="E3" s="7">
        <f t="shared" ref="E3:E66" si="0">(F3+H3)/20</f>
        <v>0.9</v>
      </c>
      <c r="F3" s="7">
        <v>0</v>
      </c>
      <c r="G3" s="7">
        <v>20</v>
      </c>
      <c r="H3" s="7">
        <f t="shared" ref="H3:H66" si="1">SUM(J3:AQ3)</f>
        <v>18</v>
      </c>
      <c r="I3" s="7" t="s">
        <v>51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16</v>
      </c>
      <c r="P3" s="7">
        <v>0</v>
      </c>
      <c r="Q3" s="7">
        <v>2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</row>
    <row r="4" spans="1:71" x14ac:dyDescent="0.2">
      <c r="A4" s="7" t="s">
        <v>4</v>
      </c>
      <c r="B4" s="7">
        <v>2</v>
      </c>
      <c r="C4" s="7" t="s">
        <v>48</v>
      </c>
      <c r="D4" s="7">
        <v>0.66</v>
      </c>
      <c r="E4" s="7">
        <f t="shared" si="0"/>
        <v>0.75</v>
      </c>
      <c r="F4" s="7">
        <v>0</v>
      </c>
      <c r="G4" s="7">
        <v>20</v>
      </c>
      <c r="H4" s="7">
        <f t="shared" si="1"/>
        <v>15</v>
      </c>
      <c r="I4" s="7" t="s">
        <v>52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9</v>
      </c>
      <c r="P4" s="7">
        <v>0</v>
      </c>
      <c r="Q4" s="7">
        <v>4</v>
      </c>
      <c r="R4" s="7">
        <v>0</v>
      </c>
      <c r="S4" s="7">
        <v>0</v>
      </c>
      <c r="T4" s="7">
        <v>0</v>
      </c>
      <c r="U4" s="7">
        <v>0</v>
      </c>
      <c r="V4" s="7">
        <v>2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</row>
    <row r="5" spans="1:71" s="3" customFormat="1" x14ac:dyDescent="0.2">
      <c r="A5" s="7" t="s">
        <v>4</v>
      </c>
      <c r="B5" s="7">
        <v>2</v>
      </c>
      <c r="C5" s="7" t="s">
        <v>48</v>
      </c>
      <c r="D5" s="7">
        <v>0.41</v>
      </c>
      <c r="E5" s="7">
        <f t="shared" si="0"/>
        <v>0.65</v>
      </c>
      <c r="F5" s="7">
        <v>0</v>
      </c>
      <c r="G5" s="7">
        <v>20</v>
      </c>
      <c r="H5" s="7">
        <f t="shared" si="1"/>
        <v>13</v>
      </c>
      <c r="I5" s="7" t="s">
        <v>53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6</v>
      </c>
      <c r="P5" s="7">
        <v>0</v>
      </c>
      <c r="Q5" s="7">
        <v>6</v>
      </c>
      <c r="R5" s="7">
        <v>0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/>
    </row>
    <row r="6" spans="1:71" x14ac:dyDescent="0.2">
      <c r="A6" s="7" t="s">
        <v>4</v>
      </c>
      <c r="B6" s="7">
        <v>2</v>
      </c>
      <c r="C6" s="7" t="s">
        <v>48</v>
      </c>
      <c r="D6" s="7">
        <v>0.85</v>
      </c>
      <c r="E6" s="7">
        <f t="shared" si="0"/>
        <v>0.85</v>
      </c>
      <c r="F6" s="7">
        <v>0</v>
      </c>
      <c r="G6" s="7">
        <v>20</v>
      </c>
      <c r="H6" s="7">
        <f t="shared" si="1"/>
        <v>17</v>
      </c>
      <c r="I6" s="7" t="s">
        <v>54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3</v>
      </c>
      <c r="P6" s="7">
        <v>0</v>
      </c>
      <c r="Q6" s="7">
        <v>13</v>
      </c>
      <c r="R6" s="7">
        <v>0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</row>
    <row r="7" spans="1:71" x14ac:dyDescent="0.2">
      <c r="A7" s="7" t="s">
        <v>4</v>
      </c>
      <c r="B7" s="7">
        <v>2</v>
      </c>
      <c r="C7" s="7" t="s">
        <v>48</v>
      </c>
      <c r="D7" s="7">
        <v>0.89</v>
      </c>
      <c r="E7" s="7">
        <f t="shared" si="0"/>
        <v>0.8</v>
      </c>
      <c r="F7" s="7">
        <v>0</v>
      </c>
      <c r="G7" s="7">
        <v>20</v>
      </c>
      <c r="H7" s="7">
        <f t="shared" si="1"/>
        <v>16</v>
      </c>
      <c r="I7" s="7" t="s">
        <v>55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5</v>
      </c>
      <c r="P7" s="7">
        <v>0</v>
      </c>
      <c r="Q7" s="7">
        <v>10</v>
      </c>
      <c r="R7" s="7">
        <v>0</v>
      </c>
      <c r="S7" s="7">
        <v>0</v>
      </c>
      <c r="T7" s="7">
        <v>0</v>
      </c>
      <c r="U7" s="7">
        <v>0</v>
      </c>
      <c r="V7" s="7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</row>
    <row r="8" spans="1:71" s="3" customFormat="1" x14ac:dyDescent="0.2">
      <c r="A8" s="7" t="s">
        <v>4</v>
      </c>
      <c r="B8" s="7">
        <v>2</v>
      </c>
      <c r="C8" s="7" t="s">
        <v>48</v>
      </c>
      <c r="D8" s="7">
        <v>0.8</v>
      </c>
      <c r="E8" s="7">
        <f t="shared" si="0"/>
        <v>0.8</v>
      </c>
      <c r="F8" s="7">
        <v>0</v>
      </c>
      <c r="G8" s="7">
        <v>20</v>
      </c>
      <c r="H8" s="7">
        <f t="shared" si="1"/>
        <v>16</v>
      </c>
      <c r="I8" s="7" t="s">
        <v>56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15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/>
    </row>
    <row r="9" spans="1:71" x14ac:dyDescent="0.2">
      <c r="A9" s="7" t="s">
        <v>4</v>
      </c>
      <c r="B9" s="7">
        <v>2</v>
      </c>
      <c r="C9" s="7" t="s">
        <v>48</v>
      </c>
      <c r="D9" s="7">
        <v>0.89</v>
      </c>
      <c r="E9" s="7">
        <f t="shared" si="0"/>
        <v>0.8</v>
      </c>
      <c r="F9" s="7">
        <v>1</v>
      </c>
      <c r="G9" s="7">
        <v>20</v>
      </c>
      <c r="H9" s="7">
        <f t="shared" si="1"/>
        <v>15</v>
      </c>
      <c r="I9" s="7" t="s">
        <v>57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7</v>
      </c>
      <c r="P9" s="7">
        <v>0</v>
      </c>
      <c r="Q9" s="7">
        <v>6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</row>
    <row r="10" spans="1:71" x14ac:dyDescent="0.2">
      <c r="A10" s="7" t="s">
        <v>4</v>
      </c>
      <c r="B10" s="7">
        <v>2</v>
      </c>
      <c r="C10" s="7" t="s">
        <v>48</v>
      </c>
      <c r="D10" s="7">
        <v>0.9</v>
      </c>
      <c r="E10" s="7">
        <f t="shared" si="0"/>
        <v>0.95</v>
      </c>
      <c r="F10" s="7">
        <v>0</v>
      </c>
      <c r="G10" s="7">
        <v>20</v>
      </c>
      <c r="H10" s="7">
        <f t="shared" si="1"/>
        <v>19</v>
      </c>
      <c r="I10" s="7" t="s">
        <v>58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17</v>
      </c>
      <c r="R10" s="7">
        <v>0</v>
      </c>
      <c r="S10" s="7">
        <v>2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</row>
    <row r="11" spans="1:71" x14ac:dyDescent="0.2">
      <c r="A11" s="7" t="s">
        <v>4</v>
      </c>
      <c r="B11" s="7">
        <v>2</v>
      </c>
      <c r="C11" s="7" t="s">
        <v>48</v>
      </c>
      <c r="D11" s="7">
        <v>0.68</v>
      </c>
      <c r="E11" s="7">
        <f t="shared" si="0"/>
        <v>0.8</v>
      </c>
      <c r="F11" s="7">
        <v>0</v>
      </c>
      <c r="G11" s="7">
        <v>20</v>
      </c>
      <c r="H11" s="7">
        <f t="shared" si="1"/>
        <v>16</v>
      </c>
      <c r="I11" s="7" t="s">
        <v>59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9</v>
      </c>
      <c r="R11" s="7">
        <v>0</v>
      </c>
      <c r="S11" s="7">
        <v>5</v>
      </c>
      <c r="T11" s="7">
        <v>0</v>
      </c>
      <c r="U11" s="7">
        <v>0</v>
      </c>
      <c r="V11" s="7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</row>
    <row r="12" spans="1:71" x14ac:dyDescent="0.2">
      <c r="A12" s="7" t="s">
        <v>4</v>
      </c>
      <c r="B12" s="7">
        <v>2</v>
      </c>
      <c r="C12" s="7" t="s">
        <v>48</v>
      </c>
      <c r="D12" s="7">
        <v>0.91</v>
      </c>
      <c r="E12" s="7">
        <f t="shared" si="0"/>
        <v>0.85</v>
      </c>
      <c r="F12" s="7">
        <v>0</v>
      </c>
      <c r="G12" s="7">
        <v>20</v>
      </c>
      <c r="H12" s="7">
        <f t="shared" si="1"/>
        <v>17</v>
      </c>
      <c r="I12" s="7" t="s">
        <v>60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2</v>
      </c>
      <c r="P12" s="7">
        <v>0</v>
      </c>
      <c r="Q12" s="7">
        <v>10</v>
      </c>
      <c r="R12" s="7">
        <v>0</v>
      </c>
      <c r="S12" s="7">
        <v>5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</row>
    <row r="13" spans="1:71" x14ac:dyDescent="0.2">
      <c r="A13" s="7" t="s">
        <v>4</v>
      </c>
      <c r="B13" s="7">
        <v>2</v>
      </c>
      <c r="C13" s="7" t="s">
        <v>48</v>
      </c>
      <c r="D13" s="7">
        <v>0.97</v>
      </c>
      <c r="E13" s="7">
        <f t="shared" si="0"/>
        <v>0.95</v>
      </c>
      <c r="F13" s="7">
        <v>0</v>
      </c>
      <c r="G13" s="7">
        <v>20</v>
      </c>
      <c r="H13" s="7">
        <f t="shared" si="1"/>
        <v>19</v>
      </c>
      <c r="I13" s="7" t="s">
        <v>61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16</v>
      </c>
      <c r="R13" s="7">
        <v>0</v>
      </c>
      <c r="S13" s="7">
        <v>2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</row>
    <row r="14" spans="1:71" x14ac:dyDescent="0.2">
      <c r="A14" s="7" t="s">
        <v>4</v>
      </c>
      <c r="B14" s="7">
        <v>2</v>
      </c>
      <c r="C14" s="7" t="s">
        <v>48</v>
      </c>
      <c r="D14" s="7">
        <v>0.4</v>
      </c>
      <c r="E14" s="7">
        <f t="shared" si="0"/>
        <v>0.6</v>
      </c>
      <c r="F14" s="7">
        <v>1</v>
      </c>
      <c r="G14" s="7">
        <v>20</v>
      </c>
      <c r="H14" s="7">
        <f t="shared" si="1"/>
        <v>11</v>
      </c>
      <c r="I14" s="7" t="s">
        <v>62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2</v>
      </c>
      <c r="P14" s="7">
        <v>0</v>
      </c>
      <c r="Q14" s="7">
        <v>7</v>
      </c>
      <c r="R14" s="7">
        <v>0</v>
      </c>
      <c r="S14" s="7">
        <v>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1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</row>
    <row r="15" spans="1:71" x14ac:dyDescent="0.2">
      <c r="A15" s="7" t="s">
        <v>4</v>
      </c>
      <c r="B15" s="7">
        <v>2</v>
      </c>
      <c r="C15" s="7" t="s">
        <v>48</v>
      </c>
      <c r="D15" s="7">
        <v>0.77</v>
      </c>
      <c r="E15" s="7">
        <f t="shared" si="0"/>
        <v>0.8</v>
      </c>
      <c r="F15" s="7">
        <v>0</v>
      </c>
      <c r="G15" s="7">
        <v>20</v>
      </c>
      <c r="H15" s="7">
        <f t="shared" si="1"/>
        <v>16</v>
      </c>
      <c r="I15" s="7" t="s">
        <v>63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5</v>
      </c>
      <c r="P15" s="7">
        <v>0</v>
      </c>
      <c r="Q15" s="7">
        <v>11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</row>
    <row r="16" spans="1:71" x14ac:dyDescent="0.2">
      <c r="A16" s="7" t="s">
        <v>4</v>
      </c>
      <c r="B16" s="7">
        <v>2</v>
      </c>
      <c r="C16" s="7" t="s">
        <v>48</v>
      </c>
      <c r="D16" s="9">
        <v>0.33</v>
      </c>
      <c r="E16" s="7">
        <f t="shared" si="0"/>
        <v>0.15</v>
      </c>
      <c r="F16" s="7">
        <v>0</v>
      </c>
      <c r="G16" s="7">
        <v>20</v>
      </c>
      <c r="H16" s="7">
        <f t="shared" si="1"/>
        <v>3</v>
      </c>
      <c r="I16" s="7" t="s">
        <v>64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2</v>
      </c>
      <c r="R16" s="7">
        <v>0</v>
      </c>
      <c r="S16" s="7">
        <v>0</v>
      </c>
      <c r="T16" s="7">
        <v>0</v>
      </c>
      <c r="U16" s="7">
        <v>0</v>
      </c>
      <c r="V16" s="7">
        <v>1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</row>
    <row r="17" spans="1:70" x14ac:dyDescent="0.2">
      <c r="A17" s="7" t="s">
        <v>6</v>
      </c>
      <c r="B17" s="7">
        <v>2</v>
      </c>
      <c r="C17" s="7" t="s">
        <v>48</v>
      </c>
      <c r="D17" s="7">
        <v>0.86</v>
      </c>
      <c r="E17" s="7">
        <f t="shared" si="0"/>
        <v>0.7</v>
      </c>
      <c r="F17" s="7">
        <v>0</v>
      </c>
      <c r="G17" s="7">
        <v>20</v>
      </c>
      <c r="H17" s="7">
        <f t="shared" si="1"/>
        <v>14</v>
      </c>
      <c r="I17" s="7" t="s">
        <v>50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8</v>
      </c>
      <c r="R17" s="7">
        <v>0</v>
      </c>
      <c r="S17" s="7">
        <v>5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</row>
    <row r="18" spans="1:70" x14ac:dyDescent="0.2">
      <c r="A18" s="7" t="s">
        <v>6</v>
      </c>
      <c r="B18" s="7">
        <v>2</v>
      </c>
      <c r="C18" s="7" t="s">
        <v>48</v>
      </c>
      <c r="D18" s="7">
        <v>0.93</v>
      </c>
      <c r="E18" s="7">
        <f t="shared" si="0"/>
        <v>1</v>
      </c>
      <c r="F18" s="7">
        <v>0</v>
      </c>
      <c r="G18" s="7">
        <v>20</v>
      </c>
      <c r="H18" s="7">
        <f t="shared" si="1"/>
        <v>20</v>
      </c>
      <c r="I18" s="7" t="s">
        <v>65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5</v>
      </c>
      <c r="P18" s="7">
        <v>0</v>
      </c>
      <c r="Q18" s="7">
        <v>12</v>
      </c>
      <c r="R18" s="7">
        <v>0</v>
      </c>
      <c r="S18" s="7">
        <v>2</v>
      </c>
      <c r="T18" s="7">
        <v>0</v>
      </c>
      <c r="U18" s="7">
        <v>0</v>
      </c>
      <c r="V18" s="7">
        <v>0</v>
      </c>
      <c r="W18" s="7">
        <v>0</v>
      </c>
      <c r="X18" s="7">
        <v>1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</row>
    <row r="19" spans="1:70" x14ac:dyDescent="0.2">
      <c r="A19" s="7" t="s">
        <v>6</v>
      </c>
      <c r="B19" s="7">
        <v>2</v>
      </c>
      <c r="C19" s="7" t="s">
        <v>48</v>
      </c>
      <c r="D19" s="7">
        <v>0.85</v>
      </c>
      <c r="E19" s="7">
        <f t="shared" si="0"/>
        <v>0.65</v>
      </c>
      <c r="F19" s="7">
        <v>0</v>
      </c>
      <c r="G19" s="7">
        <v>20</v>
      </c>
      <c r="H19" s="7">
        <f t="shared" si="1"/>
        <v>13</v>
      </c>
      <c r="I19" s="7" t="s">
        <v>54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7</v>
      </c>
      <c r="R19" s="7">
        <v>0</v>
      </c>
      <c r="S19" s="7">
        <v>5</v>
      </c>
      <c r="T19" s="7">
        <v>0</v>
      </c>
      <c r="U19" s="7">
        <v>0</v>
      </c>
      <c r="V19" s="7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</row>
    <row r="20" spans="1:70" x14ac:dyDescent="0.2">
      <c r="A20" s="7" t="s">
        <v>6</v>
      </c>
      <c r="B20" s="7">
        <v>2</v>
      </c>
      <c r="C20" s="7" t="s">
        <v>48</v>
      </c>
      <c r="D20" s="7">
        <v>0.87</v>
      </c>
      <c r="E20" s="7">
        <f t="shared" si="0"/>
        <v>0.95</v>
      </c>
      <c r="F20" s="7">
        <v>0</v>
      </c>
      <c r="G20" s="7">
        <v>20</v>
      </c>
      <c r="H20" s="7">
        <f t="shared" si="1"/>
        <v>19</v>
      </c>
      <c r="I20" s="7" t="s">
        <v>89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10</v>
      </c>
      <c r="R20" s="7">
        <v>0</v>
      </c>
      <c r="S20" s="7">
        <v>9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</row>
    <row r="21" spans="1:70" x14ac:dyDescent="0.2">
      <c r="A21" s="7" t="s">
        <v>6</v>
      </c>
      <c r="B21" s="7">
        <v>2</v>
      </c>
      <c r="C21" s="7" t="s">
        <v>48</v>
      </c>
      <c r="D21" s="7">
        <v>0.83</v>
      </c>
      <c r="E21" s="7">
        <f t="shared" si="0"/>
        <v>0.85</v>
      </c>
      <c r="F21" s="7">
        <v>0</v>
      </c>
      <c r="G21" s="7">
        <v>20</v>
      </c>
      <c r="H21" s="7">
        <f t="shared" si="1"/>
        <v>17</v>
      </c>
      <c r="I21" s="7" t="s">
        <v>66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16</v>
      </c>
      <c r="R21" s="7">
        <v>0</v>
      </c>
      <c r="S21" s="7">
        <v>0</v>
      </c>
      <c r="T21" s="7">
        <v>0</v>
      </c>
      <c r="U21" s="7">
        <v>0</v>
      </c>
      <c r="V21" s="7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</row>
    <row r="22" spans="1:70" x14ac:dyDescent="0.2">
      <c r="A22" s="7" t="s">
        <v>6</v>
      </c>
      <c r="B22" s="7">
        <v>2</v>
      </c>
      <c r="C22" s="7" t="s">
        <v>48</v>
      </c>
      <c r="D22" s="7">
        <v>0.62</v>
      </c>
      <c r="E22" s="7">
        <f t="shared" si="0"/>
        <v>0.55000000000000004</v>
      </c>
      <c r="F22" s="7">
        <v>0</v>
      </c>
      <c r="G22" s="7">
        <v>20</v>
      </c>
      <c r="H22" s="7">
        <f t="shared" si="1"/>
        <v>11</v>
      </c>
      <c r="I22" s="7" t="s">
        <v>67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  <c r="Q22" s="7">
        <v>8</v>
      </c>
      <c r="R22" s="7">
        <v>0</v>
      </c>
      <c r="S22" s="7">
        <v>1</v>
      </c>
      <c r="T22" s="7">
        <v>0</v>
      </c>
      <c r="U22" s="7">
        <v>0</v>
      </c>
      <c r="V22" s="7">
        <v>1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</row>
    <row r="23" spans="1:70" x14ac:dyDescent="0.2">
      <c r="A23" s="7" t="s">
        <v>6</v>
      </c>
      <c r="B23" s="7">
        <v>2</v>
      </c>
      <c r="C23" s="7" t="s">
        <v>48</v>
      </c>
      <c r="D23" s="7">
        <v>0.89</v>
      </c>
      <c r="E23" s="7">
        <f t="shared" si="0"/>
        <v>1</v>
      </c>
      <c r="F23" s="7">
        <v>0</v>
      </c>
      <c r="G23" s="7">
        <v>20</v>
      </c>
      <c r="H23" s="7">
        <f t="shared" si="1"/>
        <v>20</v>
      </c>
      <c r="I23" s="7" t="s">
        <v>55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5</v>
      </c>
      <c r="P23" s="7">
        <v>0</v>
      </c>
      <c r="Q23" s="7">
        <v>15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</row>
    <row r="24" spans="1:70" x14ac:dyDescent="0.2">
      <c r="A24" s="7" t="s">
        <v>6</v>
      </c>
      <c r="B24" s="7">
        <v>2</v>
      </c>
      <c r="C24" s="7" t="s">
        <v>48</v>
      </c>
      <c r="D24" s="7">
        <v>0.86</v>
      </c>
      <c r="E24" s="7">
        <f t="shared" si="0"/>
        <v>0.95</v>
      </c>
      <c r="F24" s="7">
        <v>0</v>
      </c>
      <c r="G24" s="7">
        <v>20</v>
      </c>
      <c r="H24" s="7">
        <f t="shared" si="1"/>
        <v>19</v>
      </c>
      <c r="I24" s="7" t="s">
        <v>68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3</v>
      </c>
      <c r="P24" s="7">
        <v>0</v>
      </c>
      <c r="Q24" s="7">
        <v>15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1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</row>
    <row r="25" spans="1:70" x14ac:dyDescent="0.2">
      <c r="A25" s="7" t="s">
        <v>6</v>
      </c>
      <c r="B25" s="7">
        <v>2</v>
      </c>
      <c r="C25" s="7" t="s">
        <v>48</v>
      </c>
      <c r="D25" s="7">
        <v>0.89</v>
      </c>
      <c r="E25" s="7">
        <f t="shared" si="0"/>
        <v>0.95</v>
      </c>
      <c r="F25" s="7">
        <v>0</v>
      </c>
      <c r="G25" s="7">
        <v>20</v>
      </c>
      <c r="H25" s="7">
        <f t="shared" si="1"/>
        <v>19</v>
      </c>
      <c r="I25" s="7" t="s">
        <v>57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5</v>
      </c>
      <c r="R25" s="7">
        <v>0</v>
      </c>
      <c r="S25" s="7">
        <v>13</v>
      </c>
      <c r="T25" s="7">
        <v>0</v>
      </c>
      <c r="U25" s="7">
        <v>0</v>
      </c>
      <c r="V25" s="7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</row>
    <row r="26" spans="1:70" x14ac:dyDescent="0.2">
      <c r="A26" s="7" t="s">
        <v>6</v>
      </c>
      <c r="B26" s="7">
        <v>2</v>
      </c>
      <c r="C26" s="7" t="s">
        <v>48</v>
      </c>
      <c r="D26" s="7">
        <v>0.85</v>
      </c>
      <c r="E26" s="7">
        <f t="shared" si="0"/>
        <v>0.75</v>
      </c>
      <c r="F26" s="7">
        <v>0</v>
      </c>
      <c r="G26" s="7">
        <v>20</v>
      </c>
      <c r="H26" s="7">
        <f t="shared" si="1"/>
        <v>15</v>
      </c>
      <c r="I26" s="7" t="s">
        <v>69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5</v>
      </c>
      <c r="R26" s="7">
        <v>0</v>
      </c>
      <c r="S26" s="7">
        <v>8</v>
      </c>
      <c r="T26" s="7">
        <v>0</v>
      </c>
      <c r="U26" s="7">
        <v>0</v>
      </c>
      <c r="V26" s="7">
        <v>2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</row>
    <row r="27" spans="1:70" x14ac:dyDescent="0.2">
      <c r="A27" s="7" t="s">
        <v>6</v>
      </c>
      <c r="B27" s="7">
        <v>2</v>
      </c>
      <c r="C27" s="7" t="s">
        <v>48</v>
      </c>
      <c r="D27" s="7">
        <v>0.82</v>
      </c>
      <c r="E27" s="7">
        <f t="shared" si="0"/>
        <v>0.95</v>
      </c>
      <c r="F27" s="7">
        <v>0</v>
      </c>
      <c r="G27" s="7">
        <v>20</v>
      </c>
      <c r="H27" s="7">
        <f t="shared" si="1"/>
        <v>19</v>
      </c>
      <c r="I27" s="7" t="s">
        <v>70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15</v>
      </c>
      <c r="R27" s="7">
        <v>0</v>
      </c>
      <c r="S27" s="7">
        <v>3</v>
      </c>
      <c r="T27" s="7">
        <v>0</v>
      </c>
      <c r="U27" s="7">
        <v>0</v>
      </c>
      <c r="V27" s="7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</row>
    <row r="28" spans="1:70" x14ac:dyDescent="0.2">
      <c r="A28" s="7" t="s">
        <v>6</v>
      </c>
      <c r="B28" s="7">
        <v>2</v>
      </c>
      <c r="C28" s="7" t="s">
        <v>48</v>
      </c>
      <c r="D28" s="7">
        <v>0.9</v>
      </c>
      <c r="E28" s="7">
        <f t="shared" si="0"/>
        <v>0.9</v>
      </c>
      <c r="F28" s="7">
        <v>0</v>
      </c>
      <c r="G28" s="7">
        <v>20</v>
      </c>
      <c r="H28" s="7">
        <f t="shared" si="1"/>
        <v>18</v>
      </c>
      <c r="I28" s="7" t="s">
        <v>58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6</v>
      </c>
      <c r="P28" s="7">
        <v>0</v>
      </c>
      <c r="Q28" s="7">
        <v>10</v>
      </c>
      <c r="R28" s="7">
        <v>0</v>
      </c>
      <c r="S28" s="7">
        <v>1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1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</row>
    <row r="29" spans="1:70" x14ac:dyDescent="0.2">
      <c r="A29" s="7" t="s">
        <v>6</v>
      </c>
      <c r="B29" s="7">
        <v>2</v>
      </c>
      <c r="C29" s="7" t="s">
        <v>48</v>
      </c>
      <c r="D29" s="7">
        <v>0.94</v>
      </c>
      <c r="E29" s="7">
        <f t="shared" si="0"/>
        <v>0.9</v>
      </c>
      <c r="F29" s="7">
        <v>0</v>
      </c>
      <c r="G29" s="7">
        <v>20</v>
      </c>
      <c r="H29" s="7">
        <f t="shared" si="1"/>
        <v>18</v>
      </c>
      <c r="I29" s="7" t="s">
        <v>71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7</v>
      </c>
      <c r="P29" s="7">
        <v>0</v>
      </c>
      <c r="Q29" s="7">
        <v>11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</row>
    <row r="30" spans="1:70" x14ac:dyDescent="0.2">
      <c r="A30" s="7" t="s">
        <v>6</v>
      </c>
      <c r="B30" s="7">
        <v>2</v>
      </c>
      <c r="C30" s="7" t="s">
        <v>48</v>
      </c>
      <c r="D30" s="7">
        <v>0.93</v>
      </c>
      <c r="E30" s="7">
        <f t="shared" si="0"/>
        <v>0.9</v>
      </c>
      <c r="F30" s="7">
        <v>0</v>
      </c>
      <c r="G30" s="7">
        <v>20</v>
      </c>
      <c r="H30" s="7">
        <f t="shared" si="1"/>
        <v>18</v>
      </c>
      <c r="I30" s="7" t="s">
        <v>72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13</v>
      </c>
      <c r="P30" s="7">
        <v>0</v>
      </c>
      <c r="Q30" s="7">
        <v>5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</row>
    <row r="31" spans="1:70" x14ac:dyDescent="0.2">
      <c r="A31" s="7" t="s">
        <v>6</v>
      </c>
      <c r="B31" s="7">
        <v>2</v>
      </c>
      <c r="C31" s="7" t="s">
        <v>48</v>
      </c>
      <c r="D31" s="9">
        <v>0.33</v>
      </c>
      <c r="E31" s="7">
        <f t="shared" si="0"/>
        <v>0.55000000000000004</v>
      </c>
      <c r="F31" s="7">
        <v>0</v>
      </c>
      <c r="G31" s="7">
        <v>20</v>
      </c>
      <c r="H31" s="7">
        <f t="shared" si="1"/>
        <v>11</v>
      </c>
      <c r="I31" s="7" t="s">
        <v>64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1</v>
      </c>
      <c r="P31" s="7">
        <v>0</v>
      </c>
      <c r="Q31" s="7">
        <v>8</v>
      </c>
      <c r="R31" s="7">
        <v>0</v>
      </c>
      <c r="S31" s="7">
        <v>2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</row>
    <row r="32" spans="1:70" x14ac:dyDescent="0.2">
      <c r="A32" s="7" t="s">
        <v>7</v>
      </c>
      <c r="B32" s="7">
        <v>2</v>
      </c>
      <c r="C32" s="7" t="s">
        <v>48</v>
      </c>
      <c r="D32" s="7">
        <v>0.65</v>
      </c>
      <c r="E32" s="7">
        <f t="shared" si="0"/>
        <v>0.45</v>
      </c>
      <c r="F32" s="7">
        <v>3</v>
      </c>
      <c r="G32" s="7">
        <v>20</v>
      </c>
      <c r="H32" s="7">
        <f t="shared" si="1"/>
        <v>6</v>
      </c>
      <c r="I32" s="7" t="s">
        <v>73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2</v>
      </c>
      <c r="R32" s="7">
        <v>0</v>
      </c>
      <c r="S32" s="7">
        <v>3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</row>
    <row r="33" spans="1:70" x14ac:dyDescent="0.2">
      <c r="A33" s="7" t="s">
        <v>7</v>
      </c>
      <c r="B33" s="7">
        <v>2</v>
      </c>
      <c r="C33" s="7" t="s">
        <v>48</v>
      </c>
      <c r="D33" s="7">
        <v>0.93</v>
      </c>
      <c r="E33" s="7">
        <f t="shared" si="0"/>
        <v>0.95</v>
      </c>
      <c r="F33" s="7">
        <v>0</v>
      </c>
      <c r="G33" s="7">
        <v>20</v>
      </c>
      <c r="H33" s="7">
        <f t="shared" si="1"/>
        <v>19</v>
      </c>
      <c r="I33" s="7" t="s">
        <v>51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6</v>
      </c>
      <c r="R33" s="7">
        <v>0</v>
      </c>
      <c r="S33" s="7">
        <v>13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</row>
    <row r="34" spans="1:70" x14ac:dyDescent="0.2">
      <c r="A34" s="7" t="s">
        <v>7</v>
      </c>
      <c r="B34" s="7">
        <v>2</v>
      </c>
      <c r="C34" s="7" t="s">
        <v>48</v>
      </c>
      <c r="D34" s="7">
        <v>0.66</v>
      </c>
      <c r="E34" s="7">
        <f t="shared" si="0"/>
        <v>0.85</v>
      </c>
      <c r="F34" s="7">
        <v>0</v>
      </c>
      <c r="G34" s="7">
        <v>20</v>
      </c>
      <c r="H34" s="7">
        <f t="shared" si="1"/>
        <v>17</v>
      </c>
      <c r="I34" s="7" t="s">
        <v>52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9</v>
      </c>
      <c r="R34" s="7">
        <v>0</v>
      </c>
      <c r="S34" s="7">
        <v>8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</row>
    <row r="35" spans="1:70" x14ac:dyDescent="0.2">
      <c r="A35" s="7" t="s">
        <v>7</v>
      </c>
      <c r="B35" s="7">
        <v>2</v>
      </c>
      <c r="C35" s="7" t="s">
        <v>48</v>
      </c>
      <c r="D35" s="7">
        <v>0.83</v>
      </c>
      <c r="E35" s="7">
        <f t="shared" si="0"/>
        <v>0.9</v>
      </c>
      <c r="F35" s="7">
        <v>1</v>
      </c>
      <c r="G35" s="7">
        <v>20</v>
      </c>
      <c r="H35" s="7">
        <f t="shared" si="1"/>
        <v>17</v>
      </c>
      <c r="I35" s="7" t="s">
        <v>74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13</v>
      </c>
      <c r="R35" s="7">
        <v>0</v>
      </c>
      <c r="S35" s="7">
        <v>4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</row>
    <row r="36" spans="1:70" x14ac:dyDescent="0.2">
      <c r="A36" s="7" t="s">
        <v>7</v>
      </c>
      <c r="B36" s="7">
        <v>2</v>
      </c>
      <c r="C36" s="7" t="s">
        <v>48</v>
      </c>
      <c r="D36" s="7">
        <v>0.9</v>
      </c>
      <c r="E36" s="7">
        <f t="shared" si="0"/>
        <v>0.8</v>
      </c>
      <c r="F36" s="7">
        <v>0</v>
      </c>
      <c r="G36" s="7">
        <v>20</v>
      </c>
      <c r="H36" s="7">
        <f t="shared" si="1"/>
        <v>16</v>
      </c>
      <c r="I36" s="7" t="s">
        <v>75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11</v>
      </c>
      <c r="P36" s="7">
        <v>0</v>
      </c>
      <c r="Q36" s="7">
        <v>5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</row>
    <row r="37" spans="1:70" x14ac:dyDescent="0.2">
      <c r="A37" s="7" t="s">
        <v>7</v>
      </c>
      <c r="B37" s="7">
        <v>2</v>
      </c>
      <c r="C37" s="7" t="s">
        <v>48</v>
      </c>
      <c r="D37" s="7">
        <v>0.88</v>
      </c>
      <c r="E37" s="7">
        <f t="shared" si="0"/>
        <v>0.85</v>
      </c>
      <c r="F37" s="7">
        <v>0</v>
      </c>
      <c r="G37" s="7">
        <v>20</v>
      </c>
      <c r="H37" s="7">
        <f t="shared" si="1"/>
        <v>17</v>
      </c>
      <c r="I37" s="7" t="s">
        <v>76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3</v>
      </c>
      <c r="R37" s="7">
        <v>0</v>
      </c>
      <c r="S37" s="7">
        <v>12</v>
      </c>
      <c r="T37" s="7">
        <v>0</v>
      </c>
      <c r="U37" s="7">
        <v>0</v>
      </c>
      <c r="V37" s="7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</row>
    <row r="38" spans="1:70" x14ac:dyDescent="0.2">
      <c r="A38" s="7" t="s">
        <v>7</v>
      </c>
      <c r="B38" s="7">
        <v>2</v>
      </c>
      <c r="C38" s="7" t="s">
        <v>48</v>
      </c>
      <c r="D38" s="7">
        <v>0.89</v>
      </c>
      <c r="E38" s="7">
        <f t="shared" si="0"/>
        <v>0.25</v>
      </c>
      <c r="F38" s="7">
        <v>1</v>
      </c>
      <c r="G38" s="7">
        <v>20</v>
      </c>
      <c r="H38" s="7">
        <f t="shared" si="1"/>
        <v>4</v>
      </c>
      <c r="I38" s="7" t="s">
        <v>57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4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</row>
    <row r="39" spans="1:70" x14ac:dyDescent="0.2">
      <c r="A39" s="7" t="s">
        <v>7</v>
      </c>
      <c r="B39" s="7">
        <v>2</v>
      </c>
      <c r="C39" s="7" t="s">
        <v>48</v>
      </c>
      <c r="D39" s="7">
        <v>0.8</v>
      </c>
      <c r="E39" s="7">
        <f t="shared" si="0"/>
        <v>0.75</v>
      </c>
      <c r="F39" s="7">
        <v>0</v>
      </c>
      <c r="G39" s="7">
        <v>20</v>
      </c>
      <c r="H39" s="7">
        <f t="shared" si="1"/>
        <v>15</v>
      </c>
      <c r="I39" s="7" t="s">
        <v>77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8</v>
      </c>
      <c r="T39" s="7">
        <v>0</v>
      </c>
      <c r="U39" s="7">
        <v>0</v>
      </c>
      <c r="V39" s="7">
        <v>6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1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</row>
    <row r="40" spans="1:70" x14ac:dyDescent="0.2">
      <c r="A40" s="7" t="s">
        <v>7</v>
      </c>
      <c r="B40" s="7">
        <v>2</v>
      </c>
      <c r="C40" s="7" t="s">
        <v>48</v>
      </c>
      <c r="D40" s="7">
        <v>0.83</v>
      </c>
      <c r="E40" s="7">
        <f t="shared" si="0"/>
        <v>0.95</v>
      </c>
      <c r="F40" s="7">
        <v>0</v>
      </c>
      <c r="G40" s="7">
        <v>20</v>
      </c>
      <c r="H40" s="7">
        <f t="shared" si="1"/>
        <v>19</v>
      </c>
      <c r="I40" s="7" t="s">
        <v>78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3</v>
      </c>
      <c r="P40" s="7">
        <v>0</v>
      </c>
      <c r="Q40" s="7">
        <v>13</v>
      </c>
      <c r="R40" s="7">
        <v>0</v>
      </c>
      <c r="S40" s="7">
        <v>3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</row>
    <row r="41" spans="1:70" x14ac:dyDescent="0.2">
      <c r="A41" s="7" t="s">
        <v>7</v>
      </c>
      <c r="B41" s="7">
        <v>2</v>
      </c>
      <c r="C41" s="7" t="s">
        <v>48</v>
      </c>
      <c r="D41" s="7">
        <v>0.94</v>
      </c>
      <c r="E41" s="7">
        <f t="shared" si="0"/>
        <v>0.9</v>
      </c>
      <c r="F41" s="7">
        <v>0</v>
      </c>
      <c r="G41" s="7">
        <v>20</v>
      </c>
      <c r="H41" s="7">
        <f t="shared" si="1"/>
        <v>18</v>
      </c>
      <c r="I41" s="7" t="s">
        <v>79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6</v>
      </c>
      <c r="T41" s="7">
        <v>0</v>
      </c>
      <c r="U41" s="7">
        <v>0</v>
      </c>
      <c r="V41" s="7">
        <v>9</v>
      </c>
      <c r="W41" s="7">
        <v>0</v>
      </c>
      <c r="X41" s="7">
        <v>2</v>
      </c>
      <c r="Y41" s="7">
        <v>0</v>
      </c>
      <c r="Z41" s="7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</row>
    <row r="42" spans="1:70" x14ac:dyDescent="0.2">
      <c r="A42" s="7" t="s">
        <v>7</v>
      </c>
      <c r="B42" s="7">
        <v>2</v>
      </c>
      <c r="C42" s="7" t="s">
        <v>48</v>
      </c>
      <c r="D42" s="7">
        <v>0.68</v>
      </c>
      <c r="E42" s="7">
        <f t="shared" si="0"/>
        <v>0.75</v>
      </c>
      <c r="F42" s="7">
        <v>0</v>
      </c>
      <c r="G42" s="7">
        <v>20</v>
      </c>
      <c r="H42" s="7">
        <f t="shared" si="1"/>
        <v>15</v>
      </c>
      <c r="I42" s="7" t="s">
        <v>59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7</v>
      </c>
      <c r="T42" s="7">
        <v>0</v>
      </c>
      <c r="U42" s="7">
        <v>0</v>
      </c>
      <c r="V42" s="7">
        <v>8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</row>
    <row r="43" spans="1:70" x14ac:dyDescent="0.2">
      <c r="A43" s="7" t="s">
        <v>7</v>
      </c>
      <c r="B43" s="7">
        <v>2</v>
      </c>
      <c r="C43" s="7" t="s">
        <v>48</v>
      </c>
      <c r="D43" s="7">
        <v>0.28000000000000003</v>
      </c>
      <c r="E43" s="7">
        <f t="shared" si="0"/>
        <v>0.5</v>
      </c>
      <c r="F43" s="7">
        <v>0</v>
      </c>
      <c r="G43" s="7">
        <v>20</v>
      </c>
      <c r="H43" s="7">
        <f t="shared" si="1"/>
        <v>10</v>
      </c>
      <c r="I43" s="7" t="s">
        <v>80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5</v>
      </c>
      <c r="T43" s="7">
        <v>0</v>
      </c>
      <c r="U43" s="7">
        <v>0</v>
      </c>
      <c r="V43" s="7">
        <v>3</v>
      </c>
      <c r="W43" s="7">
        <v>0</v>
      </c>
      <c r="X43" s="7">
        <v>0</v>
      </c>
      <c r="Y43" s="7">
        <v>0</v>
      </c>
      <c r="Z43" s="7">
        <v>2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</row>
    <row r="44" spans="1:70" x14ac:dyDescent="0.2">
      <c r="A44" s="7" t="s">
        <v>7</v>
      </c>
      <c r="B44" s="7">
        <v>2</v>
      </c>
      <c r="C44" s="7" t="s">
        <v>48</v>
      </c>
      <c r="D44" s="7">
        <v>0.94</v>
      </c>
      <c r="E44" s="7">
        <f t="shared" si="0"/>
        <v>0.9</v>
      </c>
      <c r="F44" s="7">
        <v>0</v>
      </c>
      <c r="G44" s="7">
        <v>20</v>
      </c>
      <c r="H44" s="7">
        <f t="shared" si="1"/>
        <v>18</v>
      </c>
      <c r="I44" s="7" t="s">
        <v>71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7</v>
      </c>
      <c r="R44" s="7">
        <v>0</v>
      </c>
      <c r="S44" s="7">
        <v>11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</row>
    <row r="45" spans="1:70" x14ac:dyDescent="0.2">
      <c r="A45" s="7" t="s">
        <v>7</v>
      </c>
      <c r="B45" s="7">
        <v>2</v>
      </c>
      <c r="C45" s="7" t="s">
        <v>48</v>
      </c>
      <c r="D45" s="7">
        <v>0.77</v>
      </c>
      <c r="E45" s="7">
        <f t="shared" si="0"/>
        <v>0.4</v>
      </c>
      <c r="F45" s="7">
        <v>1</v>
      </c>
      <c r="G45" s="7">
        <v>20</v>
      </c>
      <c r="H45" s="7">
        <f t="shared" si="1"/>
        <v>7</v>
      </c>
      <c r="I45" s="7" t="s">
        <v>81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7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</row>
    <row r="46" spans="1:70" x14ac:dyDescent="0.2">
      <c r="A46" s="7" t="s">
        <v>7</v>
      </c>
      <c r="B46" s="7">
        <v>2</v>
      </c>
      <c r="C46" s="7" t="s">
        <v>48</v>
      </c>
      <c r="D46" s="9">
        <v>0.4</v>
      </c>
      <c r="E46" s="7">
        <f t="shared" si="0"/>
        <v>0.55000000000000004</v>
      </c>
      <c r="F46" s="7">
        <v>0</v>
      </c>
      <c r="G46" s="7">
        <v>20</v>
      </c>
      <c r="H46" s="7">
        <f t="shared" si="1"/>
        <v>11</v>
      </c>
      <c r="I46" s="7" t="s">
        <v>62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9</v>
      </c>
      <c r="T46" s="7">
        <v>0</v>
      </c>
      <c r="U46" s="7">
        <v>0</v>
      </c>
      <c r="V46" s="7">
        <v>2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</row>
    <row r="47" spans="1:70" x14ac:dyDescent="0.2">
      <c r="A47" s="7" t="s">
        <v>8</v>
      </c>
      <c r="B47" s="7">
        <v>2</v>
      </c>
      <c r="C47" s="7" t="s">
        <v>48</v>
      </c>
      <c r="D47" s="7">
        <v>0.86</v>
      </c>
      <c r="E47" s="7">
        <f t="shared" si="0"/>
        <v>0.75</v>
      </c>
      <c r="F47" s="7">
        <v>2</v>
      </c>
      <c r="G47" s="7">
        <v>20</v>
      </c>
      <c r="H47" s="7">
        <f t="shared" si="1"/>
        <v>13</v>
      </c>
      <c r="I47" s="7" t="s">
        <v>50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5</v>
      </c>
      <c r="T47" s="7">
        <v>0</v>
      </c>
      <c r="U47" s="7">
        <v>0</v>
      </c>
      <c r="V47" s="7">
        <v>5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2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1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</row>
    <row r="48" spans="1:70" x14ac:dyDescent="0.2">
      <c r="A48" s="7" t="s">
        <v>8</v>
      </c>
      <c r="B48" s="7">
        <v>2</v>
      </c>
      <c r="C48" s="7" t="s">
        <v>48</v>
      </c>
      <c r="D48" s="7">
        <v>0.87</v>
      </c>
      <c r="E48" s="7">
        <f t="shared" si="0"/>
        <v>1</v>
      </c>
      <c r="F48" s="7">
        <v>0</v>
      </c>
      <c r="G48" s="7">
        <v>20</v>
      </c>
      <c r="H48" s="7">
        <f t="shared" si="1"/>
        <v>20</v>
      </c>
      <c r="I48" s="7" t="s">
        <v>82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1</v>
      </c>
      <c r="R48" s="7">
        <v>0</v>
      </c>
      <c r="S48" s="7">
        <v>6</v>
      </c>
      <c r="T48" s="7">
        <v>0</v>
      </c>
      <c r="U48" s="7">
        <v>0</v>
      </c>
      <c r="V48" s="7">
        <v>4</v>
      </c>
      <c r="W48" s="7">
        <v>0</v>
      </c>
      <c r="X48" s="7">
        <v>5</v>
      </c>
      <c r="Y48" s="7">
        <v>0</v>
      </c>
      <c r="Z48" s="7">
        <v>0</v>
      </c>
      <c r="AA48" s="7">
        <v>0</v>
      </c>
      <c r="AB48" s="7">
        <v>0</v>
      </c>
      <c r="AC48" s="7">
        <v>4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</row>
    <row r="49" spans="1:70" x14ac:dyDescent="0.2">
      <c r="A49" s="7" t="s">
        <v>8</v>
      </c>
      <c r="B49" s="7">
        <v>2</v>
      </c>
      <c r="C49" s="7" t="s">
        <v>48</v>
      </c>
      <c r="D49" s="7">
        <v>0.96</v>
      </c>
      <c r="E49" s="7">
        <f t="shared" si="0"/>
        <v>1</v>
      </c>
      <c r="F49" s="7">
        <v>0</v>
      </c>
      <c r="G49" s="7">
        <v>20</v>
      </c>
      <c r="H49" s="7">
        <f t="shared" si="1"/>
        <v>20</v>
      </c>
      <c r="I49" s="7" t="s">
        <v>83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9</v>
      </c>
      <c r="R49" s="7">
        <v>0</v>
      </c>
      <c r="S49" s="7">
        <v>9</v>
      </c>
      <c r="T49" s="7">
        <v>0</v>
      </c>
      <c r="U49" s="7">
        <v>0</v>
      </c>
      <c r="V49" s="7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1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</row>
    <row r="50" spans="1:70" x14ac:dyDescent="0.2">
      <c r="A50" s="7" t="s">
        <v>8</v>
      </c>
      <c r="B50" s="7">
        <v>2</v>
      </c>
      <c r="C50" s="7" t="s">
        <v>48</v>
      </c>
      <c r="D50" s="7">
        <v>0.77</v>
      </c>
      <c r="E50" s="7">
        <f t="shared" si="0"/>
        <v>0.85</v>
      </c>
      <c r="F50" s="7">
        <v>0</v>
      </c>
      <c r="G50" s="7">
        <v>20</v>
      </c>
      <c r="H50" s="7">
        <f t="shared" si="1"/>
        <v>17</v>
      </c>
      <c r="I50" s="7" t="s">
        <v>84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3</v>
      </c>
      <c r="R50" s="7">
        <v>0</v>
      </c>
      <c r="S50" s="7">
        <v>13</v>
      </c>
      <c r="T50" s="7">
        <v>0</v>
      </c>
      <c r="U50" s="7">
        <v>0</v>
      </c>
      <c r="V50" s="7">
        <v>1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</row>
    <row r="51" spans="1:70" x14ac:dyDescent="0.2">
      <c r="A51" s="7" t="s">
        <v>8</v>
      </c>
      <c r="B51" s="7">
        <v>2</v>
      </c>
      <c r="C51" s="7" t="s">
        <v>48</v>
      </c>
      <c r="D51" s="7">
        <v>0.57999999999999996</v>
      </c>
      <c r="E51" s="7">
        <f t="shared" si="0"/>
        <v>0.65</v>
      </c>
      <c r="F51" s="7">
        <v>0</v>
      </c>
      <c r="G51" s="7">
        <v>20</v>
      </c>
      <c r="H51" s="7">
        <f t="shared" si="1"/>
        <v>13</v>
      </c>
      <c r="I51" s="7" t="s">
        <v>85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9</v>
      </c>
      <c r="R51" s="7">
        <v>0</v>
      </c>
      <c r="S51" s="7">
        <v>4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</row>
    <row r="52" spans="1:70" x14ac:dyDescent="0.2">
      <c r="A52" s="7" t="s">
        <v>8</v>
      </c>
      <c r="B52" s="7">
        <v>2</v>
      </c>
      <c r="C52" s="7" t="s">
        <v>48</v>
      </c>
      <c r="D52" s="7">
        <v>0.83</v>
      </c>
      <c r="E52" s="7">
        <f t="shared" si="0"/>
        <v>0.95</v>
      </c>
      <c r="F52" s="7">
        <v>0</v>
      </c>
      <c r="G52" s="7">
        <v>20</v>
      </c>
      <c r="H52" s="7">
        <f t="shared" si="1"/>
        <v>19</v>
      </c>
      <c r="I52" s="7" t="s">
        <v>66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11</v>
      </c>
      <c r="T52" s="7">
        <v>0</v>
      </c>
      <c r="U52" s="7">
        <v>0</v>
      </c>
      <c r="V52" s="7">
        <v>7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</row>
    <row r="53" spans="1:70" x14ac:dyDescent="0.2">
      <c r="A53" s="7" t="s">
        <v>8</v>
      </c>
      <c r="B53" s="7">
        <v>2</v>
      </c>
      <c r="C53" s="7" t="s">
        <v>48</v>
      </c>
      <c r="D53" s="7">
        <v>0.92</v>
      </c>
      <c r="E53" s="7">
        <f t="shared" si="0"/>
        <v>0.85</v>
      </c>
      <c r="F53" s="7">
        <v>0</v>
      </c>
      <c r="G53" s="7">
        <v>20</v>
      </c>
      <c r="H53" s="7">
        <f t="shared" si="1"/>
        <v>17</v>
      </c>
      <c r="I53" s="7" t="s">
        <v>86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16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</row>
    <row r="54" spans="1:70" x14ac:dyDescent="0.2">
      <c r="A54" s="7" t="s">
        <v>8</v>
      </c>
      <c r="B54" s="7">
        <v>2</v>
      </c>
      <c r="C54" s="7" t="s">
        <v>48</v>
      </c>
      <c r="D54" s="7">
        <v>0.86</v>
      </c>
      <c r="E54" s="7">
        <f t="shared" si="0"/>
        <v>0.85</v>
      </c>
      <c r="F54" s="7">
        <v>0</v>
      </c>
      <c r="G54" s="7">
        <v>20</v>
      </c>
      <c r="H54" s="7">
        <f t="shared" si="1"/>
        <v>17</v>
      </c>
      <c r="I54" s="7" t="s">
        <v>68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13</v>
      </c>
      <c r="P54" s="7">
        <v>0</v>
      </c>
      <c r="Q54" s="7">
        <v>4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</row>
    <row r="55" spans="1:70" x14ac:dyDescent="0.2">
      <c r="A55" s="7" t="s">
        <v>8</v>
      </c>
      <c r="B55" s="7">
        <v>2</v>
      </c>
      <c r="C55" s="7" t="s">
        <v>48</v>
      </c>
      <c r="D55" s="7">
        <v>0.88</v>
      </c>
      <c r="E55" s="7">
        <f t="shared" si="0"/>
        <v>0.9</v>
      </c>
      <c r="F55" s="7">
        <v>0</v>
      </c>
      <c r="G55" s="7">
        <v>20</v>
      </c>
      <c r="H55" s="7">
        <f t="shared" si="1"/>
        <v>18</v>
      </c>
      <c r="I55" s="7" t="s">
        <v>76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8</v>
      </c>
      <c r="R55" s="7">
        <v>0</v>
      </c>
      <c r="S55" s="7">
        <v>5</v>
      </c>
      <c r="T55" s="7">
        <v>0</v>
      </c>
      <c r="U55" s="7">
        <v>0</v>
      </c>
      <c r="V55" s="7">
        <v>1</v>
      </c>
      <c r="W55" s="7">
        <v>0</v>
      </c>
      <c r="X55" s="7">
        <v>0</v>
      </c>
      <c r="Y55" s="7">
        <v>0</v>
      </c>
      <c r="Z55" s="7">
        <v>3</v>
      </c>
      <c r="AA55" s="7">
        <v>0</v>
      </c>
      <c r="AB55" s="7">
        <v>0</v>
      </c>
      <c r="AC55" s="7">
        <v>1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</row>
    <row r="56" spans="1:70" x14ac:dyDescent="0.2">
      <c r="A56" s="7" t="s">
        <v>8</v>
      </c>
      <c r="B56" s="7">
        <v>2</v>
      </c>
      <c r="C56" s="7" t="s">
        <v>48</v>
      </c>
      <c r="D56" s="7">
        <v>0.89</v>
      </c>
      <c r="E56" s="7">
        <f t="shared" si="0"/>
        <v>0.75</v>
      </c>
      <c r="F56" s="7">
        <v>0</v>
      </c>
      <c r="G56" s="7">
        <v>20</v>
      </c>
      <c r="H56" s="7">
        <f t="shared" si="1"/>
        <v>15</v>
      </c>
      <c r="I56" s="7" t="s">
        <v>87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12</v>
      </c>
      <c r="R56" s="7">
        <v>0</v>
      </c>
      <c r="S56" s="7">
        <v>2</v>
      </c>
      <c r="T56" s="7">
        <v>0</v>
      </c>
      <c r="U56" s="7">
        <v>0</v>
      </c>
      <c r="V56" s="7">
        <v>1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</row>
    <row r="57" spans="1:70" x14ac:dyDescent="0.2">
      <c r="A57" s="7" t="s">
        <v>8</v>
      </c>
      <c r="B57" s="7">
        <v>2</v>
      </c>
      <c r="C57" s="7" t="s">
        <v>48</v>
      </c>
      <c r="D57" s="7">
        <v>0.9</v>
      </c>
      <c r="E57" s="7">
        <f t="shared" si="0"/>
        <v>1</v>
      </c>
      <c r="F57" s="7">
        <v>0</v>
      </c>
      <c r="G57" s="7">
        <v>20</v>
      </c>
      <c r="H57" s="7">
        <f t="shared" si="1"/>
        <v>20</v>
      </c>
      <c r="I57" s="7" t="s">
        <v>58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15</v>
      </c>
      <c r="R57" s="7">
        <v>0</v>
      </c>
      <c r="S57" s="7">
        <v>4</v>
      </c>
      <c r="T57" s="7">
        <v>0</v>
      </c>
      <c r="U57" s="7">
        <v>0</v>
      </c>
      <c r="V57" s="7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</row>
    <row r="58" spans="1:70" x14ac:dyDescent="0.2">
      <c r="A58" s="7" t="s">
        <v>8</v>
      </c>
      <c r="B58" s="7">
        <v>2</v>
      </c>
      <c r="C58" s="7" t="s">
        <v>48</v>
      </c>
      <c r="D58" s="7">
        <v>0.94</v>
      </c>
      <c r="E58" s="7">
        <f t="shared" si="0"/>
        <v>1</v>
      </c>
      <c r="F58" s="7">
        <v>0</v>
      </c>
      <c r="G58" s="7">
        <v>20</v>
      </c>
      <c r="H58" s="7">
        <f t="shared" si="1"/>
        <v>20</v>
      </c>
      <c r="I58" s="7" t="s">
        <v>79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10</v>
      </c>
      <c r="R58" s="7">
        <v>0</v>
      </c>
      <c r="S58" s="7">
        <v>9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</row>
    <row r="59" spans="1:70" x14ac:dyDescent="0.2">
      <c r="A59" s="7" t="s">
        <v>8</v>
      </c>
      <c r="B59" s="7">
        <v>2</v>
      </c>
      <c r="C59" s="7" t="s">
        <v>48</v>
      </c>
      <c r="D59" s="7">
        <v>0.97</v>
      </c>
      <c r="E59" s="7">
        <f t="shared" si="0"/>
        <v>1</v>
      </c>
      <c r="F59" s="7">
        <v>0</v>
      </c>
      <c r="G59" s="7">
        <v>20</v>
      </c>
      <c r="H59" s="7">
        <f t="shared" si="1"/>
        <v>20</v>
      </c>
      <c r="I59" s="7" t="s">
        <v>61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4</v>
      </c>
      <c r="P59" s="7">
        <v>0</v>
      </c>
      <c r="Q59" s="7">
        <v>14</v>
      </c>
      <c r="R59" s="7">
        <v>0</v>
      </c>
      <c r="S59" s="7">
        <v>2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</row>
    <row r="60" spans="1:70" x14ac:dyDescent="0.2">
      <c r="A60" s="7" t="s">
        <v>8</v>
      </c>
      <c r="B60" s="7">
        <v>2</v>
      </c>
      <c r="C60" s="7" t="s">
        <v>48</v>
      </c>
      <c r="D60" s="7">
        <v>0.4</v>
      </c>
      <c r="E60" s="7">
        <f t="shared" si="0"/>
        <v>0.45</v>
      </c>
      <c r="F60" s="7">
        <v>1</v>
      </c>
      <c r="G60" s="7">
        <v>20</v>
      </c>
      <c r="H60" s="7">
        <f t="shared" si="1"/>
        <v>8</v>
      </c>
      <c r="I60" s="7" t="s">
        <v>62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5</v>
      </c>
      <c r="R60" s="7">
        <v>0</v>
      </c>
      <c r="S60" s="7">
        <v>1</v>
      </c>
      <c r="T60" s="7">
        <v>0</v>
      </c>
      <c r="U60" s="7">
        <v>0</v>
      </c>
      <c r="V60" s="7">
        <v>1</v>
      </c>
      <c r="W60" s="7">
        <v>0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</row>
    <row r="61" spans="1:70" x14ac:dyDescent="0.2">
      <c r="A61" s="7" t="s">
        <v>8</v>
      </c>
      <c r="B61" s="7">
        <v>2</v>
      </c>
      <c r="C61" s="7" t="s">
        <v>48</v>
      </c>
      <c r="D61" s="9">
        <v>0.89</v>
      </c>
      <c r="E61" s="7">
        <f t="shared" si="0"/>
        <v>0.85</v>
      </c>
      <c r="F61" s="7">
        <v>0</v>
      </c>
      <c r="G61" s="7">
        <v>20</v>
      </c>
      <c r="H61" s="7">
        <f t="shared" si="1"/>
        <v>17</v>
      </c>
      <c r="I61" s="7" t="s">
        <v>88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4</v>
      </c>
      <c r="P61" s="7">
        <v>0</v>
      </c>
      <c r="Q61" s="7">
        <v>10</v>
      </c>
      <c r="R61" s="7">
        <v>0</v>
      </c>
      <c r="S61" s="7">
        <v>1</v>
      </c>
      <c r="T61" s="7">
        <v>0</v>
      </c>
      <c r="U61" s="7">
        <v>0</v>
      </c>
      <c r="V61" s="7">
        <v>2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</row>
    <row r="62" spans="1:70" x14ac:dyDescent="0.2">
      <c r="A62" s="7" t="s">
        <v>9</v>
      </c>
      <c r="B62" s="7">
        <v>2</v>
      </c>
      <c r="C62" s="7" t="s">
        <v>48</v>
      </c>
      <c r="D62" s="7">
        <v>0.93</v>
      </c>
      <c r="E62" s="7">
        <f t="shared" si="0"/>
        <v>0.95</v>
      </c>
      <c r="F62" s="7">
        <v>0</v>
      </c>
      <c r="G62" s="7">
        <v>20</v>
      </c>
      <c r="H62" s="7">
        <f t="shared" si="1"/>
        <v>19</v>
      </c>
      <c r="I62" s="7" t="s">
        <v>65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11</v>
      </c>
      <c r="T62" s="7">
        <v>0</v>
      </c>
      <c r="U62" s="7">
        <v>0</v>
      </c>
      <c r="V62" s="7">
        <v>6</v>
      </c>
      <c r="W62" s="7">
        <v>0</v>
      </c>
      <c r="X62" s="7">
        <v>2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</row>
    <row r="63" spans="1:70" x14ac:dyDescent="0.2">
      <c r="A63" s="7" t="s">
        <v>9</v>
      </c>
      <c r="B63" s="7">
        <v>2</v>
      </c>
      <c r="C63" s="7" t="s">
        <v>48</v>
      </c>
      <c r="D63" s="7">
        <v>0.96</v>
      </c>
      <c r="E63" s="7">
        <f t="shared" si="0"/>
        <v>0.95</v>
      </c>
      <c r="F63" s="7">
        <v>0</v>
      </c>
      <c r="G63" s="7">
        <v>20</v>
      </c>
      <c r="H63" s="7">
        <f t="shared" si="1"/>
        <v>19</v>
      </c>
      <c r="I63" s="7" t="s">
        <v>83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9</v>
      </c>
      <c r="R63" s="7">
        <v>0</v>
      </c>
      <c r="S63" s="7">
        <v>10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</row>
    <row r="64" spans="1:70" x14ac:dyDescent="0.2">
      <c r="A64" s="7" t="s">
        <v>9</v>
      </c>
      <c r="B64" s="7">
        <v>2</v>
      </c>
      <c r="C64" s="7" t="s">
        <v>48</v>
      </c>
      <c r="D64" s="7">
        <v>0.93</v>
      </c>
      <c r="E64" s="7">
        <f t="shared" si="0"/>
        <v>0.9</v>
      </c>
      <c r="F64" s="7">
        <v>0</v>
      </c>
      <c r="G64" s="7">
        <v>20</v>
      </c>
      <c r="H64" s="7">
        <f t="shared" si="1"/>
        <v>18</v>
      </c>
      <c r="I64" s="7" t="s">
        <v>51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5</v>
      </c>
      <c r="R64" s="7">
        <v>0</v>
      </c>
      <c r="S64" s="7">
        <v>13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</row>
    <row r="65" spans="1:71" x14ac:dyDescent="0.2">
      <c r="A65" s="7" t="s">
        <v>9</v>
      </c>
      <c r="B65" s="7">
        <v>2</v>
      </c>
      <c r="C65" s="7" t="s">
        <v>48</v>
      </c>
      <c r="D65" s="7">
        <v>0.77</v>
      </c>
      <c r="E65" s="7">
        <f t="shared" si="0"/>
        <v>0.8</v>
      </c>
      <c r="F65" s="7">
        <v>0</v>
      </c>
      <c r="G65" s="7">
        <v>20</v>
      </c>
      <c r="H65" s="7">
        <f t="shared" si="1"/>
        <v>16</v>
      </c>
      <c r="I65" s="7" t="s">
        <v>84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6</v>
      </c>
      <c r="R65" s="7">
        <v>0</v>
      </c>
      <c r="S65" s="7">
        <v>10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</row>
    <row r="66" spans="1:71" x14ac:dyDescent="0.2">
      <c r="A66" s="7" t="s">
        <v>9</v>
      </c>
      <c r="B66" s="7">
        <v>2</v>
      </c>
      <c r="C66" s="7" t="s">
        <v>48</v>
      </c>
      <c r="D66" s="7">
        <v>0.83</v>
      </c>
      <c r="E66" s="7">
        <f t="shared" si="0"/>
        <v>0.95</v>
      </c>
      <c r="F66" s="7">
        <v>0</v>
      </c>
      <c r="G66" s="7">
        <v>20</v>
      </c>
      <c r="H66" s="7">
        <f t="shared" si="1"/>
        <v>19</v>
      </c>
      <c r="I66" s="7" t="s">
        <v>66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8</v>
      </c>
      <c r="T66" s="7">
        <v>0</v>
      </c>
      <c r="U66" s="7">
        <v>0</v>
      </c>
      <c r="V66" s="7">
        <v>11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</row>
    <row r="67" spans="1:71" x14ac:dyDescent="0.2">
      <c r="A67" s="7" t="s">
        <v>9</v>
      </c>
      <c r="B67" s="7">
        <v>2</v>
      </c>
      <c r="C67" s="7" t="s">
        <v>48</v>
      </c>
      <c r="D67" s="7">
        <v>0.9</v>
      </c>
      <c r="E67" s="7">
        <f t="shared" ref="E67:E91" si="2">(F67+H67)/20</f>
        <v>0.75</v>
      </c>
      <c r="F67" s="7">
        <v>1</v>
      </c>
      <c r="G67" s="7">
        <v>20</v>
      </c>
      <c r="H67" s="7">
        <f t="shared" ref="H67:H91" si="3">SUM(J67:AQ67)</f>
        <v>14</v>
      </c>
      <c r="I67" s="7" t="s">
        <v>75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8</v>
      </c>
      <c r="R67" s="7">
        <v>0</v>
      </c>
      <c r="S67" s="7">
        <v>6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</row>
    <row r="68" spans="1:71" x14ac:dyDescent="0.2">
      <c r="A68" s="7" t="s">
        <v>9</v>
      </c>
      <c r="B68" s="7">
        <v>2</v>
      </c>
      <c r="C68" s="7" t="s">
        <v>48</v>
      </c>
      <c r="D68" s="7">
        <v>0.89</v>
      </c>
      <c r="E68" s="7">
        <f t="shared" si="2"/>
        <v>0.85</v>
      </c>
      <c r="F68" s="7">
        <v>0</v>
      </c>
      <c r="G68" s="7">
        <v>20</v>
      </c>
      <c r="H68" s="7">
        <f t="shared" si="3"/>
        <v>17</v>
      </c>
      <c r="I68" s="7" t="s">
        <v>55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10</v>
      </c>
      <c r="R68" s="7">
        <v>0</v>
      </c>
      <c r="S68" s="7">
        <v>6</v>
      </c>
      <c r="T68" s="7">
        <v>0</v>
      </c>
      <c r="U68" s="7">
        <v>0</v>
      </c>
      <c r="V68" s="7">
        <v>1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</row>
    <row r="69" spans="1:71" x14ac:dyDescent="0.2">
      <c r="A69" s="7" t="s">
        <v>9</v>
      </c>
      <c r="B69" s="7">
        <v>2</v>
      </c>
      <c r="C69" s="7" t="s">
        <v>48</v>
      </c>
      <c r="D69" s="7">
        <v>0.86</v>
      </c>
      <c r="E69" s="7">
        <f t="shared" si="2"/>
        <v>0.95</v>
      </c>
      <c r="F69" s="7">
        <v>0</v>
      </c>
      <c r="G69" s="7">
        <v>20</v>
      </c>
      <c r="H69" s="7">
        <f t="shared" si="3"/>
        <v>19</v>
      </c>
      <c r="I69" s="7" t="s">
        <v>68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15</v>
      </c>
      <c r="R69" s="7">
        <v>0</v>
      </c>
      <c r="S69" s="7">
        <v>3</v>
      </c>
      <c r="T69" s="7">
        <v>0</v>
      </c>
      <c r="U69" s="7">
        <v>0</v>
      </c>
      <c r="V69" s="7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</row>
    <row r="70" spans="1:71" x14ac:dyDescent="0.2">
      <c r="A70" s="7" t="s">
        <v>9</v>
      </c>
      <c r="B70" s="7">
        <v>2</v>
      </c>
      <c r="C70" s="7" t="s">
        <v>48</v>
      </c>
      <c r="D70" s="7">
        <v>0.8</v>
      </c>
      <c r="E70" s="7">
        <f t="shared" si="2"/>
        <v>0.85</v>
      </c>
      <c r="F70" s="7">
        <v>0</v>
      </c>
      <c r="G70" s="7">
        <v>20</v>
      </c>
      <c r="H70" s="7">
        <f t="shared" si="3"/>
        <v>17</v>
      </c>
      <c r="I70" s="7" t="s">
        <v>56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13</v>
      </c>
      <c r="R70" s="7">
        <v>0</v>
      </c>
      <c r="S70" s="7">
        <v>2</v>
      </c>
      <c r="T70" s="7">
        <v>0</v>
      </c>
      <c r="U70" s="7">
        <v>0</v>
      </c>
      <c r="V70" s="7">
        <v>1</v>
      </c>
      <c r="W70" s="7">
        <v>0</v>
      </c>
      <c r="X70" s="7">
        <v>0</v>
      </c>
      <c r="Y70" s="7">
        <v>0</v>
      </c>
      <c r="Z70" s="7">
        <v>1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</row>
    <row r="71" spans="1:71" s="3" customFormat="1" x14ac:dyDescent="0.2">
      <c r="A71" s="7" t="s">
        <v>9</v>
      </c>
      <c r="B71" s="7">
        <v>2</v>
      </c>
      <c r="C71" s="7" t="s">
        <v>48</v>
      </c>
      <c r="D71" s="7">
        <v>0.88</v>
      </c>
      <c r="E71" s="7">
        <f t="shared" si="2"/>
        <v>0.7</v>
      </c>
      <c r="F71" s="7">
        <v>1</v>
      </c>
      <c r="G71" s="7">
        <v>20</v>
      </c>
      <c r="H71" s="7">
        <f t="shared" si="3"/>
        <v>13</v>
      </c>
      <c r="I71" s="7" t="s">
        <v>76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3</v>
      </c>
      <c r="T71" s="7">
        <v>0</v>
      </c>
      <c r="U71" s="7">
        <v>0</v>
      </c>
      <c r="V71" s="7">
        <v>6</v>
      </c>
      <c r="W71" s="7">
        <v>0</v>
      </c>
      <c r="X71" s="7">
        <v>2</v>
      </c>
      <c r="Y71" s="7">
        <v>0</v>
      </c>
      <c r="Z71" s="7">
        <v>0</v>
      </c>
      <c r="AA71" s="7">
        <v>0</v>
      </c>
      <c r="AB71" s="7">
        <v>0</v>
      </c>
      <c r="AC71" s="7">
        <v>1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1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/>
    </row>
    <row r="72" spans="1:71" x14ac:dyDescent="0.2">
      <c r="A72" s="7" t="s">
        <v>9</v>
      </c>
      <c r="B72" s="7">
        <v>2</v>
      </c>
      <c r="C72" s="7" t="s">
        <v>48</v>
      </c>
      <c r="D72" s="7">
        <v>0.89</v>
      </c>
      <c r="E72" s="7">
        <f t="shared" si="2"/>
        <v>0.9</v>
      </c>
      <c r="F72" s="7">
        <v>0</v>
      </c>
      <c r="G72" s="7">
        <v>20</v>
      </c>
      <c r="H72" s="7">
        <f t="shared" si="3"/>
        <v>18</v>
      </c>
      <c r="I72" s="7" t="s">
        <v>57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10</v>
      </c>
      <c r="R72" s="7">
        <v>0</v>
      </c>
      <c r="S72" s="7">
        <v>7</v>
      </c>
      <c r="T72" s="7">
        <v>0</v>
      </c>
      <c r="U72" s="7">
        <v>0</v>
      </c>
      <c r="V72" s="7">
        <v>1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</row>
    <row r="73" spans="1:71" x14ac:dyDescent="0.2">
      <c r="A73" s="7" t="s">
        <v>9</v>
      </c>
      <c r="B73" s="7">
        <v>2</v>
      </c>
      <c r="C73" s="7" t="s">
        <v>48</v>
      </c>
      <c r="D73" s="7">
        <v>0.82</v>
      </c>
      <c r="E73" s="7">
        <f t="shared" si="2"/>
        <v>0.95</v>
      </c>
      <c r="F73" s="7">
        <v>0</v>
      </c>
      <c r="G73" s="7">
        <v>20</v>
      </c>
      <c r="H73" s="7">
        <f t="shared" si="3"/>
        <v>19</v>
      </c>
      <c r="I73" s="7" t="s">
        <v>70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4</v>
      </c>
      <c r="R73" s="7">
        <v>0</v>
      </c>
      <c r="S73" s="7">
        <v>13</v>
      </c>
      <c r="T73" s="7">
        <v>0</v>
      </c>
      <c r="U73" s="7">
        <v>0</v>
      </c>
      <c r="V73" s="7">
        <v>1</v>
      </c>
      <c r="W73" s="7">
        <v>0</v>
      </c>
      <c r="X73" s="7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</row>
    <row r="74" spans="1:71" x14ac:dyDescent="0.2">
      <c r="A74" s="7" t="s">
        <v>9</v>
      </c>
      <c r="B74" s="7">
        <v>2</v>
      </c>
      <c r="C74" s="7" t="s">
        <v>48</v>
      </c>
      <c r="D74" s="7">
        <v>0.83</v>
      </c>
      <c r="E74" s="7">
        <f t="shared" si="2"/>
        <v>0.95</v>
      </c>
      <c r="F74" s="7">
        <v>0</v>
      </c>
      <c r="G74" s="7">
        <v>20</v>
      </c>
      <c r="H74" s="7">
        <f t="shared" si="3"/>
        <v>19</v>
      </c>
      <c r="I74" s="7" t="s">
        <v>78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2</v>
      </c>
      <c r="R74" s="7">
        <v>0</v>
      </c>
      <c r="S74" s="7">
        <v>7</v>
      </c>
      <c r="T74" s="7">
        <v>0</v>
      </c>
      <c r="U74" s="7">
        <v>0</v>
      </c>
      <c r="V74" s="7">
        <v>8</v>
      </c>
      <c r="W74" s="7">
        <v>0</v>
      </c>
      <c r="X74" s="7">
        <v>2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</row>
    <row r="75" spans="1:71" x14ac:dyDescent="0.2">
      <c r="A75" s="7" t="s">
        <v>9</v>
      </c>
      <c r="B75" s="7">
        <v>2</v>
      </c>
      <c r="C75" s="7" t="s">
        <v>48</v>
      </c>
      <c r="D75" s="7">
        <v>0.28000000000000003</v>
      </c>
      <c r="E75" s="7">
        <f t="shared" si="2"/>
        <v>0.2</v>
      </c>
      <c r="F75" s="7">
        <v>0</v>
      </c>
      <c r="G75" s="7">
        <v>20</v>
      </c>
      <c r="H75" s="7">
        <f t="shared" si="3"/>
        <v>4</v>
      </c>
      <c r="I75" s="7" t="s">
        <v>80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2</v>
      </c>
      <c r="T75" s="7">
        <v>0</v>
      </c>
      <c r="U75" s="7">
        <v>0</v>
      </c>
      <c r="V75" s="7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</row>
    <row r="76" spans="1:71" x14ac:dyDescent="0.2">
      <c r="A76" s="7" t="s">
        <v>9</v>
      </c>
      <c r="B76" s="7">
        <v>2</v>
      </c>
      <c r="C76" s="7" t="s">
        <v>48</v>
      </c>
      <c r="D76" s="9">
        <v>0.77</v>
      </c>
      <c r="E76" s="7">
        <f t="shared" si="2"/>
        <v>0.85</v>
      </c>
      <c r="F76" s="7">
        <v>0</v>
      </c>
      <c r="G76" s="7">
        <v>20</v>
      </c>
      <c r="H76" s="7">
        <f t="shared" si="3"/>
        <v>17</v>
      </c>
      <c r="I76" s="7" t="s">
        <v>63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12</v>
      </c>
      <c r="R76" s="7">
        <v>0</v>
      </c>
      <c r="S76" s="7">
        <v>5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</row>
    <row r="77" spans="1:71" x14ac:dyDescent="0.2">
      <c r="A77" s="7" t="s">
        <v>10</v>
      </c>
      <c r="B77" s="7">
        <v>2</v>
      </c>
      <c r="C77" s="7" t="s">
        <v>48</v>
      </c>
      <c r="D77" s="7">
        <v>0.64</v>
      </c>
      <c r="E77" s="7">
        <f t="shared" si="2"/>
        <v>0.55000000000000004</v>
      </c>
      <c r="F77" s="7">
        <v>1</v>
      </c>
      <c r="G77" s="7">
        <v>20</v>
      </c>
      <c r="H77" s="7">
        <f t="shared" si="3"/>
        <v>10</v>
      </c>
      <c r="I77" s="7" t="s">
        <v>73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2</v>
      </c>
      <c r="T77" s="7">
        <v>0</v>
      </c>
      <c r="U77" s="7">
        <v>0</v>
      </c>
      <c r="V77" s="7">
        <v>8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</row>
    <row r="78" spans="1:71" x14ac:dyDescent="0.2">
      <c r="A78" s="7" t="s">
        <v>10</v>
      </c>
      <c r="B78" s="7">
        <v>2</v>
      </c>
      <c r="C78" s="7" t="s">
        <v>48</v>
      </c>
      <c r="D78" s="7">
        <v>0.96</v>
      </c>
      <c r="E78" s="7">
        <f t="shared" si="2"/>
        <v>1</v>
      </c>
      <c r="F78" s="7">
        <v>0</v>
      </c>
      <c r="G78" s="7">
        <v>20</v>
      </c>
      <c r="H78" s="7">
        <f t="shared" si="3"/>
        <v>20</v>
      </c>
      <c r="I78" s="7" t="s">
        <v>83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10</v>
      </c>
      <c r="T78" s="7">
        <v>0</v>
      </c>
      <c r="U78" s="7">
        <v>0</v>
      </c>
      <c r="V78" s="7">
        <v>10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</row>
    <row r="79" spans="1:71" x14ac:dyDescent="0.2">
      <c r="A79" s="7" t="s">
        <v>10</v>
      </c>
      <c r="B79" s="7">
        <v>2</v>
      </c>
      <c r="C79" s="7" t="s">
        <v>48</v>
      </c>
      <c r="D79" s="7">
        <v>0.85</v>
      </c>
      <c r="E79" s="7">
        <f t="shared" si="2"/>
        <v>0.7</v>
      </c>
      <c r="F79" s="7">
        <v>1</v>
      </c>
      <c r="G79" s="7">
        <v>20</v>
      </c>
      <c r="H79" s="7">
        <f t="shared" si="3"/>
        <v>13</v>
      </c>
      <c r="I79" s="7" t="s">
        <v>54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11</v>
      </c>
      <c r="W79" s="7">
        <v>0</v>
      </c>
      <c r="X79" s="7">
        <v>0</v>
      </c>
      <c r="Y79" s="7">
        <v>0</v>
      </c>
      <c r="Z79" s="7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10">
        <v>1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</row>
    <row r="80" spans="1:71" x14ac:dyDescent="0.2">
      <c r="A80" s="7" t="s">
        <v>10</v>
      </c>
      <c r="B80" s="7">
        <v>2</v>
      </c>
      <c r="C80" s="7" t="s">
        <v>48</v>
      </c>
      <c r="D80" s="7">
        <v>0.87</v>
      </c>
      <c r="E80" s="7">
        <f t="shared" si="2"/>
        <v>0.9</v>
      </c>
      <c r="F80" s="7">
        <v>0</v>
      </c>
      <c r="G80" s="7">
        <v>20</v>
      </c>
      <c r="H80" s="7">
        <f t="shared" si="3"/>
        <v>18</v>
      </c>
      <c r="I80" s="7" t="s">
        <v>89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6</v>
      </c>
      <c r="T80" s="7">
        <v>0</v>
      </c>
      <c r="U80" s="7">
        <v>0</v>
      </c>
      <c r="V80" s="7">
        <v>11</v>
      </c>
      <c r="W80" s="7">
        <v>0</v>
      </c>
      <c r="X80" s="7">
        <v>1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</row>
    <row r="81" spans="1:70" x14ac:dyDescent="0.2">
      <c r="A81" s="7" t="s">
        <v>10</v>
      </c>
      <c r="B81" s="7">
        <v>2</v>
      </c>
      <c r="C81" s="7" t="s">
        <v>48</v>
      </c>
      <c r="D81" s="7">
        <v>0.77</v>
      </c>
      <c r="E81" s="7">
        <f t="shared" si="2"/>
        <v>0.75</v>
      </c>
      <c r="F81" s="7">
        <v>0</v>
      </c>
      <c r="G81" s="7">
        <v>20</v>
      </c>
      <c r="H81" s="7">
        <f t="shared" si="3"/>
        <v>15</v>
      </c>
      <c r="I81" s="7" t="s">
        <v>84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6</v>
      </c>
      <c r="T81" s="7">
        <v>0</v>
      </c>
      <c r="U81" s="7">
        <v>0</v>
      </c>
      <c r="V81" s="7">
        <v>8</v>
      </c>
      <c r="W81" s="7">
        <v>0</v>
      </c>
      <c r="X81" s="7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</row>
    <row r="82" spans="1:70" x14ac:dyDescent="0.2">
      <c r="A82" s="7" t="s">
        <v>10</v>
      </c>
      <c r="B82" s="7">
        <v>2</v>
      </c>
      <c r="C82" s="7" t="s">
        <v>48</v>
      </c>
      <c r="D82" s="7">
        <v>0.57999999999999996</v>
      </c>
      <c r="E82" s="7">
        <f t="shared" si="2"/>
        <v>0.75</v>
      </c>
      <c r="F82" s="7">
        <v>0</v>
      </c>
      <c r="G82" s="7">
        <v>20</v>
      </c>
      <c r="H82" s="7">
        <f t="shared" si="3"/>
        <v>15</v>
      </c>
      <c r="I82" s="7" t="s">
        <v>85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8</v>
      </c>
      <c r="T82" s="7">
        <v>0</v>
      </c>
      <c r="U82" s="7">
        <v>0</v>
      </c>
      <c r="V82" s="7">
        <v>7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</row>
    <row r="83" spans="1:70" x14ac:dyDescent="0.2">
      <c r="A83" s="7" t="s">
        <v>10</v>
      </c>
      <c r="B83" s="7">
        <v>2</v>
      </c>
      <c r="C83" s="7" t="s">
        <v>48</v>
      </c>
      <c r="D83" s="7">
        <v>0.89</v>
      </c>
      <c r="E83" s="7">
        <f t="shared" si="2"/>
        <v>0.9</v>
      </c>
      <c r="F83" s="7">
        <v>0</v>
      </c>
      <c r="G83" s="7">
        <v>20</v>
      </c>
      <c r="H83" s="7">
        <f t="shared" si="3"/>
        <v>18</v>
      </c>
      <c r="I83" s="7" t="s">
        <v>55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3</v>
      </c>
      <c r="R83" s="7">
        <v>0</v>
      </c>
      <c r="S83" s="7">
        <v>10</v>
      </c>
      <c r="T83" s="7">
        <v>0</v>
      </c>
      <c r="U83" s="7">
        <v>0</v>
      </c>
      <c r="V83" s="7">
        <v>5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</row>
    <row r="84" spans="1:70" x14ac:dyDescent="0.2">
      <c r="A84" s="7" t="s">
        <v>10</v>
      </c>
      <c r="B84" s="7">
        <v>2</v>
      </c>
      <c r="C84" s="7" t="s">
        <v>48</v>
      </c>
      <c r="D84" s="7">
        <v>0.92</v>
      </c>
      <c r="E84" s="7">
        <f t="shared" si="2"/>
        <v>0.7</v>
      </c>
      <c r="F84" s="7">
        <v>0</v>
      </c>
      <c r="G84" s="7">
        <v>20</v>
      </c>
      <c r="H84" s="7">
        <f t="shared" si="3"/>
        <v>14</v>
      </c>
      <c r="I84" s="7" t="s">
        <v>86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11</v>
      </c>
      <c r="W84" s="7">
        <v>0</v>
      </c>
      <c r="X84" s="7">
        <v>2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</row>
    <row r="85" spans="1:70" x14ac:dyDescent="0.2">
      <c r="A85" s="7" t="s">
        <v>10</v>
      </c>
      <c r="B85" s="7">
        <v>2</v>
      </c>
      <c r="C85" s="7" t="s">
        <v>48</v>
      </c>
      <c r="D85" s="7">
        <v>0.7</v>
      </c>
      <c r="E85" s="7">
        <f t="shared" si="2"/>
        <v>0.1</v>
      </c>
      <c r="F85" s="7">
        <v>1</v>
      </c>
      <c r="G85" s="7">
        <v>20</v>
      </c>
      <c r="H85" s="7">
        <f t="shared" si="3"/>
        <v>1</v>
      </c>
      <c r="I85" s="7" t="s">
        <v>90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</row>
    <row r="86" spans="1:70" x14ac:dyDescent="0.2">
      <c r="A86" s="7" t="s">
        <v>10</v>
      </c>
      <c r="B86" s="7">
        <v>2</v>
      </c>
      <c r="C86" s="7" t="s">
        <v>48</v>
      </c>
      <c r="D86" s="7">
        <v>0.8</v>
      </c>
      <c r="E86" s="7">
        <f t="shared" si="2"/>
        <v>0.8</v>
      </c>
      <c r="F86" s="7">
        <v>1</v>
      </c>
      <c r="G86" s="7">
        <v>20</v>
      </c>
      <c r="H86" s="7">
        <f t="shared" si="3"/>
        <v>15</v>
      </c>
      <c r="I86" s="7" t="s">
        <v>77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0</v>
      </c>
      <c r="U86" s="7">
        <v>0</v>
      </c>
      <c r="V86" s="7">
        <v>3</v>
      </c>
      <c r="W86" s="7">
        <v>0</v>
      </c>
      <c r="X86" s="7">
        <v>3</v>
      </c>
      <c r="Y86" s="7">
        <v>0</v>
      </c>
      <c r="Z86" s="7">
        <v>2</v>
      </c>
      <c r="AA86" s="7">
        <v>0</v>
      </c>
      <c r="AB86" s="7">
        <v>0</v>
      </c>
      <c r="AC86" s="7">
        <v>5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</row>
    <row r="87" spans="1:70" x14ac:dyDescent="0.2">
      <c r="A87" s="7" t="s">
        <v>10</v>
      </c>
      <c r="B87" s="7">
        <v>2</v>
      </c>
      <c r="C87" s="7" t="s">
        <v>48</v>
      </c>
      <c r="D87" s="7">
        <v>0.89</v>
      </c>
      <c r="E87" s="7">
        <f t="shared" si="2"/>
        <v>0.55000000000000004</v>
      </c>
      <c r="F87" s="7">
        <v>0</v>
      </c>
      <c r="G87" s="7">
        <v>20</v>
      </c>
      <c r="H87" s="7">
        <f t="shared" si="3"/>
        <v>11</v>
      </c>
      <c r="I87" s="7" t="s">
        <v>87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2</v>
      </c>
      <c r="R87" s="7">
        <v>0</v>
      </c>
      <c r="S87" s="7">
        <v>0</v>
      </c>
      <c r="T87" s="7">
        <v>0</v>
      </c>
      <c r="U87" s="7">
        <v>0</v>
      </c>
      <c r="V87" s="7">
        <v>3</v>
      </c>
      <c r="W87" s="7">
        <v>0</v>
      </c>
      <c r="X87" s="7">
        <v>3</v>
      </c>
      <c r="Y87" s="7">
        <v>0</v>
      </c>
      <c r="Z87" s="7">
        <v>1</v>
      </c>
      <c r="AA87" s="7">
        <v>0</v>
      </c>
      <c r="AB87" s="7">
        <v>0</v>
      </c>
      <c r="AC87" s="7">
        <v>2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</row>
    <row r="88" spans="1:70" x14ac:dyDescent="0.2">
      <c r="A88" s="7" t="s">
        <v>10</v>
      </c>
      <c r="B88" s="7">
        <v>2</v>
      </c>
      <c r="C88" s="7" t="s">
        <v>48</v>
      </c>
      <c r="D88" s="7">
        <v>0.83</v>
      </c>
      <c r="E88" s="7">
        <f t="shared" si="2"/>
        <v>0.9</v>
      </c>
      <c r="F88" s="7">
        <v>0</v>
      </c>
      <c r="G88" s="7">
        <v>20</v>
      </c>
      <c r="H88" s="7">
        <f t="shared" si="3"/>
        <v>18</v>
      </c>
      <c r="I88" s="7" t="s">
        <v>78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3</v>
      </c>
      <c r="T88" s="7">
        <v>0</v>
      </c>
      <c r="U88" s="7">
        <v>0</v>
      </c>
      <c r="V88" s="7">
        <v>11</v>
      </c>
      <c r="W88" s="7">
        <v>0</v>
      </c>
      <c r="X88" s="7">
        <v>4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</row>
    <row r="89" spans="1:70" x14ac:dyDescent="0.2">
      <c r="A89" s="7" t="s">
        <v>10</v>
      </c>
      <c r="B89" s="7">
        <v>2</v>
      </c>
      <c r="C89" s="7" t="s">
        <v>48</v>
      </c>
      <c r="D89" s="7">
        <v>0.91</v>
      </c>
      <c r="E89" s="7">
        <f t="shared" si="2"/>
        <v>0.9</v>
      </c>
      <c r="F89" s="7">
        <v>0</v>
      </c>
      <c r="G89" s="7">
        <v>20</v>
      </c>
      <c r="H89" s="7">
        <f t="shared" si="3"/>
        <v>18</v>
      </c>
      <c r="I89" s="7" t="s">
        <v>60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5</v>
      </c>
      <c r="T89" s="7">
        <v>0</v>
      </c>
      <c r="U89" s="7">
        <v>0</v>
      </c>
      <c r="V89" s="7">
        <v>10</v>
      </c>
      <c r="W89" s="7">
        <v>0</v>
      </c>
      <c r="X89" s="7">
        <v>2</v>
      </c>
      <c r="Y89" s="7">
        <v>0</v>
      </c>
      <c r="Z89" s="7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</row>
    <row r="90" spans="1:70" x14ac:dyDescent="0.2">
      <c r="A90" s="7" t="s">
        <v>10</v>
      </c>
      <c r="B90" s="7">
        <v>2</v>
      </c>
      <c r="C90" s="7" t="s">
        <v>48</v>
      </c>
      <c r="D90" s="7">
        <v>0.33</v>
      </c>
      <c r="E90" s="7">
        <f t="shared" si="2"/>
        <v>0.2</v>
      </c>
      <c r="F90" s="7">
        <v>0</v>
      </c>
      <c r="G90" s="7">
        <v>20</v>
      </c>
      <c r="H90" s="7">
        <f t="shared" si="3"/>
        <v>4</v>
      </c>
      <c r="I90" s="7" t="s">
        <v>64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1</v>
      </c>
      <c r="W90" s="7">
        <v>0</v>
      </c>
      <c r="X90" s="7">
        <v>0</v>
      </c>
      <c r="Y90" s="7">
        <v>0</v>
      </c>
      <c r="Z90" s="7">
        <v>1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1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</row>
    <row r="91" spans="1:70" x14ac:dyDescent="0.2">
      <c r="A91" s="7" t="s">
        <v>10</v>
      </c>
      <c r="B91" s="7">
        <v>2</v>
      </c>
      <c r="C91" s="7" t="s">
        <v>48</v>
      </c>
      <c r="D91" s="7">
        <v>0.89</v>
      </c>
      <c r="E91" s="7">
        <f t="shared" si="2"/>
        <v>0.9</v>
      </c>
      <c r="F91" s="7">
        <v>0</v>
      </c>
      <c r="G91" s="7">
        <v>20</v>
      </c>
      <c r="H91" s="7">
        <f t="shared" si="3"/>
        <v>18</v>
      </c>
      <c r="I91" s="7" t="s">
        <v>88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8</v>
      </c>
      <c r="T91" s="7">
        <v>0</v>
      </c>
      <c r="U91" s="7">
        <v>0</v>
      </c>
      <c r="V91" s="7">
        <v>9</v>
      </c>
      <c r="W91" s="7">
        <v>0</v>
      </c>
      <c r="X91" s="7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</row>
    <row r="92" spans="1:70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C1BD-8C12-4F1C-974C-7D042A528CF1}">
  <dimension ref="A1:BT91"/>
  <sheetViews>
    <sheetView tabSelected="1" zoomScale="138" zoomScaleNormal="115" workbookViewId="0">
      <selection activeCell="F11" sqref="F11"/>
    </sheetView>
  </sheetViews>
  <sheetFormatPr baseColWidth="10" defaultColWidth="8.83203125" defaultRowHeight="15" x14ac:dyDescent="0.2"/>
  <cols>
    <col min="1" max="1" width="11.1640625" bestFit="1" customWidth="1"/>
    <col min="3" max="3" width="14.5" bestFit="1" customWidth="1"/>
    <col min="4" max="8" width="14.5" customWidth="1"/>
    <col min="10" max="31" width="8.83203125" customWidth="1"/>
    <col min="37" max="37" width="8.83203125" style="2"/>
  </cols>
  <sheetData>
    <row r="1" spans="1:70" s="1" customFormat="1" ht="48" x14ac:dyDescent="0.2">
      <c r="A1" s="5" t="s">
        <v>2</v>
      </c>
      <c r="B1" s="5" t="s">
        <v>5</v>
      </c>
      <c r="C1" s="5" t="s">
        <v>0</v>
      </c>
      <c r="D1" s="6" t="s">
        <v>125</v>
      </c>
      <c r="E1" s="6" t="s">
        <v>126</v>
      </c>
      <c r="F1" s="5" t="s">
        <v>124</v>
      </c>
      <c r="G1" s="5" t="s">
        <v>188</v>
      </c>
      <c r="H1" s="5" t="s">
        <v>122</v>
      </c>
      <c r="I1" s="5" t="s">
        <v>1</v>
      </c>
      <c r="J1" s="5" t="s">
        <v>127</v>
      </c>
      <c r="K1" s="5" t="s">
        <v>128</v>
      </c>
      <c r="L1" s="5" t="s">
        <v>129</v>
      </c>
      <c r="M1" s="5" t="s">
        <v>130</v>
      </c>
      <c r="N1" s="5" t="s">
        <v>131</v>
      </c>
      <c r="O1" s="5" t="s">
        <v>132</v>
      </c>
      <c r="P1" s="5" t="s">
        <v>133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138</v>
      </c>
      <c r="V1" s="5" t="s">
        <v>139</v>
      </c>
      <c r="W1" s="5" t="s">
        <v>140</v>
      </c>
      <c r="X1" s="5" t="s">
        <v>141</v>
      </c>
      <c r="Y1" s="5" t="s">
        <v>142</v>
      </c>
      <c r="Z1" s="5" t="s">
        <v>143</v>
      </c>
      <c r="AA1" s="5" t="s">
        <v>144</v>
      </c>
      <c r="AB1" s="5" t="s">
        <v>145</v>
      </c>
      <c r="AC1" s="5" t="s">
        <v>146</v>
      </c>
      <c r="AD1" s="5" t="s">
        <v>147</v>
      </c>
      <c r="AE1" s="5" t="s">
        <v>148</v>
      </c>
      <c r="AF1" s="5" t="s">
        <v>149</v>
      </c>
      <c r="AG1" s="5" t="s">
        <v>150</v>
      </c>
      <c r="AH1" s="5" t="s">
        <v>151</v>
      </c>
      <c r="AI1" s="5" t="s">
        <v>152</v>
      </c>
      <c r="AJ1" s="5" t="s">
        <v>153</v>
      </c>
      <c r="AK1" s="5" t="s">
        <v>154</v>
      </c>
      <c r="AL1" s="5" t="s">
        <v>155</v>
      </c>
      <c r="AM1" s="5" t="s">
        <v>156</v>
      </c>
      <c r="AN1" s="5" t="s">
        <v>157</v>
      </c>
      <c r="AO1" s="5" t="s">
        <v>158</v>
      </c>
      <c r="AP1" s="5" t="s">
        <v>159</v>
      </c>
      <c r="AQ1" s="5" t="s">
        <v>160</v>
      </c>
      <c r="AR1" s="5" t="s">
        <v>161</v>
      </c>
      <c r="AS1" s="5" t="s">
        <v>162</v>
      </c>
      <c r="AT1" s="5" t="s">
        <v>163</v>
      </c>
      <c r="AU1" s="5" t="s">
        <v>164</v>
      </c>
      <c r="AV1" s="5" t="s">
        <v>165</v>
      </c>
      <c r="AW1" s="5" t="s">
        <v>166</v>
      </c>
      <c r="AX1" s="5" t="s">
        <v>167</v>
      </c>
      <c r="AY1" s="5" t="s">
        <v>168</v>
      </c>
      <c r="AZ1" s="5" t="s">
        <v>169</v>
      </c>
      <c r="BA1" s="5" t="s">
        <v>170</v>
      </c>
      <c r="BB1" s="5" t="s">
        <v>171</v>
      </c>
      <c r="BC1" s="5" t="s">
        <v>172</v>
      </c>
      <c r="BD1" s="5" t="s">
        <v>173</v>
      </c>
      <c r="BE1" s="5" t="s">
        <v>174</v>
      </c>
      <c r="BF1" s="5" t="s">
        <v>175</v>
      </c>
      <c r="BG1" s="5" t="s">
        <v>176</v>
      </c>
      <c r="BH1" s="5" t="s">
        <v>177</v>
      </c>
      <c r="BI1" s="5" t="s">
        <v>178</v>
      </c>
      <c r="BJ1" s="5" t="s">
        <v>179</v>
      </c>
      <c r="BK1" s="5" t="s">
        <v>180</v>
      </c>
      <c r="BL1" s="5" t="s">
        <v>181</v>
      </c>
      <c r="BM1" s="5" t="s">
        <v>182</v>
      </c>
      <c r="BN1" s="5" t="s">
        <v>183</v>
      </c>
      <c r="BO1" s="5" t="s">
        <v>184</v>
      </c>
      <c r="BP1" s="5" t="s">
        <v>185</v>
      </c>
      <c r="BQ1" s="5" t="s">
        <v>186</v>
      </c>
      <c r="BR1" s="5" t="s">
        <v>187</v>
      </c>
    </row>
    <row r="2" spans="1:70" x14ac:dyDescent="0.2">
      <c r="A2" s="7" t="s">
        <v>4</v>
      </c>
      <c r="B2" s="7">
        <v>2</v>
      </c>
      <c r="C2" s="7" t="s">
        <v>49</v>
      </c>
      <c r="D2" s="8">
        <v>0.64</v>
      </c>
      <c r="E2" s="7">
        <f>(F2+H2)/20</f>
        <v>0.4</v>
      </c>
      <c r="F2" s="7">
        <v>2</v>
      </c>
      <c r="G2" s="7">
        <v>20</v>
      </c>
      <c r="H2" s="7">
        <f>SUM(J2:AQ2)</f>
        <v>6</v>
      </c>
      <c r="I2" s="7" t="s">
        <v>91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4</v>
      </c>
      <c r="P2" s="7">
        <v>0</v>
      </c>
      <c r="Q2" s="7">
        <v>2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</row>
    <row r="3" spans="1:70" x14ac:dyDescent="0.2">
      <c r="A3" s="7" t="s">
        <v>4</v>
      </c>
      <c r="B3" s="7">
        <v>2</v>
      </c>
      <c r="C3" s="7" t="s">
        <v>49</v>
      </c>
      <c r="D3" s="7">
        <v>0.87</v>
      </c>
      <c r="E3" s="7">
        <f t="shared" ref="E3:E66" si="0">(F3+H3)/20</f>
        <v>0.85</v>
      </c>
      <c r="F3" s="7">
        <v>0</v>
      </c>
      <c r="G3" s="7">
        <v>20</v>
      </c>
      <c r="H3" s="7">
        <f t="shared" ref="H3:H66" si="1">SUM(J3:AQ3)</f>
        <v>17</v>
      </c>
      <c r="I3" s="7" t="s">
        <v>92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14</v>
      </c>
      <c r="R3" s="7">
        <v>0</v>
      </c>
      <c r="S3" s="7">
        <v>3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</row>
    <row r="4" spans="1:70" x14ac:dyDescent="0.2">
      <c r="A4" s="7" t="s">
        <v>4</v>
      </c>
      <c r="B4" s="7">
        <v>2</v>
      </c>
      <c r="C4" s="7" t="s">
        <v>49</v>
      </c>
      <c r="D4" s="7">
        <v>0.82</v>
      </c>
      <c r="E4" s="7">
        <f t="shared" si="0"/>
        <v>0.85</v>
      </c>
      <c r="F4" s="7">
        <v>0</v>
      </c>
      <c r="G4" s="7">
        <v>20</v>
      </c>
      <c r="H4" s="7">
        <f t="shared" si="1"/>
        <v>17</v>
      </c>
      <c r="I4" s="7" t="s">
        <v>93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15</v>
      </c>
      <c r="R4" s="7">
        <v>0</v>
      </c>
      <c r="S4" s="7">
        <v>2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</row>
    <row r="5" spans="1:70" x14ac:dyDescent="0.2">
      <c r="A5" s="7" t="s">
        <v>4</v>
      </c>
      <c r="B5" s="7">
        <v>2</v>
      </c>
      <c r="C5" s="7" t="s">
        <v>49</v>
      </c>
      <c r="D5" s="7">
        <v>0.89</v>
      </c>
      <c r="E5" s="7">
        <f t="shared" si="0"/>
        <v>1</v>
      </c>
      <c r="F5" s="7">
        <v>0</v>
      </c>
      <c r="G5" s="7">
        <v>20</v>
      </c>
      <c r="H5" s="7">
        <f t="shared" si="1"/>
        <v>20</v>
      </c>
      <c r="I5" s="7" t="s">
        <v>94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11</v>
      </c>
      <c r="R5" s="7">
        <v>0</v>
      </c>
      <c r="S5" s="7">
        <v>8</v>
      </c>
      <c r="T5" s="7">
        <v>0</v>
      </c>
      <c r="U5" s="7">
        <v>0</v>
      </c>
      <c r="V5" s="7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</row>
    <row r="6" spans="1:70" x14ac:dyDescent="0.2">
      <c r="A6" s="7" t="s">
        <v>4</v>
      </c>
      <c r="B6" s="7">
        <v>2</v>
      </c>
      <c r="C6" s="7" t="s">
        <v>49</v>
      </c>
      <c r="D6" s="7">
        <v>0.92</v>
      </c>
      <c r="E6" s="7">
        <f t="shared" si="0"/>
        <v>0.9</v>
      </c>
      <c r="F6" s="7">
        <v>0</v>
      </c>
      <c r="G6" s="7">
        <v>20</v>
      </c>
      <c r="H6" s="7">
        <f t="shared" si="1"/>
        <v>18</v>
      </c>
      <c r="I6" s="7" t="s">
        <v>95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3</v>
      </c>
      <c r="P6" s="7">
        <v>0</v>
      </c>
      <c r="Q6" s="7">
        <v>14</v>
      </c>
      <c r="R6" s="7">
        <v>0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</row>
    <row r="7" spans="1:70" x14ac:dyDescent="0.2">
      <c r="A7" s="7" t="s">
        <v>4</v>
      </c>
      <c r="B7" s="7">
        <v>2</v>
      </c>
      <c r="C7" s="7" t="s">
        <v>49</v>
      </c>
      <c r="D7" s="7">
        <v>0.95</v>
      </c>
      <c r="E7" s="7">
        <f t="shared" si="0"/>
        <v>0.9</v>
      </c>
      <c r="F7" s="7">
        <v>0</v>
      </c>
      <c r="G7" s="7">
        <v>20</v>
      </c>
      <c r="H7" s="7">
        <f t="shared" si="1"/>
        <v>18</v>
      </c>
      <c r="I7" s="7" t="s">
        <v>96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9</v>
      </c>
      <c r="P7" s="7">
        <v>0</v>
      </c>
      <c r="Q7" s="7">
        <v>8</v>
      </c>
      <c r="R7" s="7">
        <v>0</v>
      </c>
      <c r="S7" s="7">
        <v>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</row>
    <row r="8" spans="1:70" x14ac:dyDescent="0.2">
      <c r="A8" s="7" t="s">
        <v>4</v>
      </c>
      <c r="B8" s="7">
        <v>2</v>
      </c>
      <c r="C8" s="7" t="s">
        <v>49</v>
      </c>
      <c r="D8" s="7">
        <v>0.93</v>
      </c>
      <c r="E8" s="7">
        <f t="shared" si="0"/>
        <v>0.9</v>
      </c>
      <c r="F8" s="7">
        <v>0</v>
      </c>
      <c r="G8" s="7">
        <v>20</v>
      </c>
      <c r="H8" s="7">
        <f t="shared" si="1"/>
        <v>18</v>
      </c>
      <c r="I8" s="7" t="s">
        <v>97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3</v>
      </c>
      <c r="P8" s="7">
        <v>0</v>
      </c>
      <c r="Q8" s="7">
        <v>15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</row>
    <row r="9" spans="1:70" x14ac:dyDescent="0.2">
      <c r="A9" s="7" t="s">
        <v>4</v>
      </c>
      <c r="B9" s="7">
        <v>2</v>
      </c>
      <c r="C9" s="7" t="s">
        <v>49</v>
      </c>
      <c r="D9" s="7">
        <v>0.93</v>
      </c>
      <c r="E9" s="7">
        <f t="shared" si="0"/>
        <v>0.85</v>
      </c>
      <c r="F9" s="7">
        <v>0</v>
      </c>
      <c r="G9" s="7">
        <v>20</v>
      </c>
      <c r="H9" s="7">
        <f t="shared" si="1"/>
        <v>17</v>
      </c>
      <c r="I9" s="7" t="s">
        <v>98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3</v>
      </c>
      <c r="P9" s="7">
        <v>0</v>
      </c>
      <c r="Q9" s="7">
        <v>14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</row>
    <row r="10" spans="1:70" x14ac:dyDescent="0.2">
      <c r="A10" s="7" t="s">
        <v>4</v>
      </c>
      <c r="B10" s="7">
        <v>2</v>
      </c>
      <c r="C10" s="7" t="s">
        <v>49</v>
      </c>
      <c r="D10" s="7">
        <v>0.93</v>
      </c>
      <c r="E10" s="7">
        <f t="shared" si="0"/>
        <v>0.8</v>
      </c>
      <c r="F10" s="7">
        <v>0</v>
      </c>
      <c r="G10" s="7">
        <v>20</v>
      </c>
      <c r="H10" s="7">
        <f t="shared" si="1"/>
        <v>16</v>
      </c>
      <c r="I10" s="7" t="s">
        <v>99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2</v>
      </c>
      <c r="P10" s="7">
        <v>0</v>
      </c>
      <c r="Q10" s="7">
        <v>12</v>
      </c>
      <c r="R10" s="7">
        <v>0</v>
      </c>
      <c r="S10" s="7">
        <v>1</v>
      </c>
      <c r="T10" s="7">
        <v>0</v>
      </c>
      <c r="U10" s="7">
        <v>0</v>
      </c>
      <c r="V10" s="7">
        <v>0</v>
      </c>
      <c r="W10" s="7">
        <v>0</v>
      </c>
      <c r="X10" s="7">
        <v>1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</row>
    <row r="11" spans="1:70" x14ac:dyDescent="0.2">
      <c r="A11" s="7" t="s">
        <v>4</v>
      </c>
      <c r="B11" s="7">
        <v>2</v>
      </c>
      <c r="C11" s="7" t="s">
        <v>49</v>
      </c>
      <c r="D11" s="7">
        <v>0.93</v>
      </c>
      <c r="E11" s="7">
        <f t="shared" si="0"/>
        <v>1</v>
      </c>
      <c r="F11" s="7">
        <v>0</v>
      </c>
      <c r="G11" s="7">
        <v>20</v>
      </c>
      <c r="H11" s="7">
        <f t="shared" si="1"/>
        <v>20</v>
      </c>
      <c r="I11" s="7" t="s">
        <v>100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1</v>
      </c>
      <c r="P11" s="7">
        <v>0</v>
      </c>
      <c r="Q11" s="7">
        <v>17</v>
      </c>
      <c r="R11" s="7">
        <v>0</v>
      </c>
      <c r="S11" s="7">
        <v>1</v>
      </c>
      <c r="T11" s="7">
        <v>0</v>
      </c>
      <c r="U11" s="7">
        <v>0</v>
      </c>
      <c r="V11" s="7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</row>
    <row r="12" spans="1:70" x14ac:dyDescent="0.2">
      <c r="A12" s="7" t="s">
        <v>4</v>
      </c>
      <c r="B12" s="7">
        <v>2</v>
      </c>
      <c r="C12" s="7" t="s">
        <v>49</v>
      </c>
      <c r="D12" s="7">
        <v>0.85</v>
      </c>
      <c r="E12" s="7">
        <f t="shared" si="0"/>
        <v>0.85</v>
      </c>
      <c r="F12" s="7">
        <v>0</v>
      </c>
      <c r="G12" s="7">
        <v>20</v>
      </c>
      <c r="H12" s="7">
        <f t="shared" si="1"/>
        <v>17</v>
      </c>
      <c r="I12" s="7" t="s">
        <v>101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14</v>
      </c>
      <c r="R12" s="7">
        <v>0</v>
      </c>
      <c r="S12" s="7">
        <v>2</v>
      </c>
      <c r="T12" s="7">
        <v>0</v>
      </c>
      <c r="U12" s="7">
        <v>0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</row>
    <row r="13" spans="1:70" x14ac:dyDescent="0.2">
      <c r="A13" s="7" t="s">
        <v>4</v>
      </c>
      <c r="B13" s="7">
        <v>2</v>
      </c>
      <c r="C13" s="7" t="s">
        <v>49</v>
      </c>
      <c r="D13" s="7">
        <v>0.8</v>
      </c>
      <c r="E13" s="7">
        <f t="shared" si="0"/>
        <v>0.75</v>
      </c>
      <c r="F13" s="7">
        <v>0</v>
      </c>
      <c r="G13" s="7">
        <v>20</v>
      </c>
      <c r="H13" s="7">
        <f t="shared" si="1"/>
        <v>15</v>
      </c>
      <c r="I13" s="7" t="s">
        <v>102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13</v>
      </c>
      <c r="R13" s="7">
        <v>0</v>
      </c>
      <c r="S13" s="7">
        <v>2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</row>
    <row r="14" spans="1:70" x14ac:dyDescent="0.2">
      <c r="A14" s="7" t="s">
        <v>4</v>
      </c>
      <c r="B14" s="7">
        <v>2</v>
      </c>
      <c r="C14" s="7" t="s">
        <v>49</v>
      </c>
      <c r="D14" s="7">
        <v>0.92</v>
      </c>
      <c r="E14" s="7">
        <f t="shared" si="0"/>
        <v>0.75</v>
      </c>
      <c r="F14" s="7">
        <v>0</v>
      </c>
      <c r="G14" s="7">
        <v>20</v>
      </c>
      <c r="H14" s="7">
        <f t="shared" si="1"/>
        <v>15</v>
      </c>
      <c r="I14" s="7" t="s">
        <v>103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8</v>
      </c>
      <c r="P14" s="7">
        <v>0</v>
      </c>
      <c r="Q14" s="7">
        <v>6</v>
      </c>
      <c r="R14" s="7">
        <v>0</v>
      </c>
      <c r="S14" s="7">
        <v>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</row>
    <row r="15" spans="1:70" x14ac:dyDescent="0.2">
      <c r="A15" s="7" t="s">
        <v>4</v>
      </c>
      <c r="B15" s="7">
        <v>2</v>
      </c>
      <c r="C15" s="7" t="s">
        <v>49</v>
      </c>
      <c r="D15" s="7">
        <v>0.86</v>
      </c>
      <c r="E15" s="7">
        <f t="shared" si="0"/>
        <v>0.6</v>
      </c>
      <c r="F15" s="7">
        <v>0</v>
      </c>
      <c r="G15" s="7">
        <v>20</v>
      </c>
      <c r="H15" s="7">
        <f t="shared" si="1"/>
        <v>12</v>
      </c>
      <c r="I15" s="7" t="s">
        <v>104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4</v>
      </c>
      <c r="P15" s="7">
        <v>0</v>
      </c>
      <c r="Q15" s="7">
        <v>6</v>
      </c>
      <c r="R15" s="7">
        <v>0</v>
      </c>
      <c r="S15" s="7">
        <v>2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</row>
    <row r="16" spans="1:70" x14ac:dyDescent="0.2">
      <c r="A16" s="7" t="s">
        <v>4</v>
      </c>
      <c r="B16" s="7">
        <v>2</v>
      </c>
      <c r="C16" s="7" t="s">
        <v>49</v>
      </c>
      <c r="D16" s="9">
        <v>0.91</v>
      </c>
      <c r="E16" s="7">
        <f t="shared" si="0"/>
        <v>1</v>
      </c>
      <c r="F16" s="7">
        <v>0</v>
      </c>
      <c r="G16" s="7">
        <v>20</v>
      </c>
      <c r="H16" s="7">
        <f t="shared" si="1"/>
        <v>20</v>
      </c>
      <c r="I16" s="7" t="s">
        <v>105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8</v>
      </c>
      <c r="P16" s="7">
        <v>0</v>
      </c>
      <c r="Q16" s="7">
        <v>12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</row>
    <row r="17" spans="1:72" s="3" customFormat="1" x14ac:dyDescent="0.2">
      <c r="A17" s="7" t="s">
        <v>6</v>
      </c>
      <c r="B17" s="7">
        <v>2</v>
      </c>
      <c r="C17" s="7" t="s">
        <v>49</v>
      </c>
      <c r="D17" s="7">
        <v>0.67</v>
      </c>
      <c r="E17" s="7">
        <f t="shared" si="0"/>
        <v>0.55000000000000004</v>
      </c>
      <c r="F17" s="7">
        <v>3</v>
      </c>
      <c r="G17" s="7">
        <v>20</v>
      </c>
      <c r="H17" s="7">
        <f t="shared" si="1"/>
        <v>8</v>
      </c>
      <c r="I17" s="7" t="s">
        <v>106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8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1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</row>
    <row r="18" spans="1:72" x14ac:dyDescent="0.2">
      <c r="A18" s="7" t="s">
        <v>6</v>
      </c>
      <c r="B18" s="7">
        <v>2</v>
      </c>
      <c r="C18" s="7" t="s">
        <v>49</v>
      </c>
      <c r="D18" s="7">
        <v>0.82</v>
      </c>
      <c r="E18" s="7">
        <f t="shared" si="0"/>
        <v>0.65</v>
      </c>
      <c r="F18" s="7">
        <v>0</v>
      </c>
      <c r="G18" s="7">
        <v>20</v>
      </c>
      <c r="H18" s="7">
        <f t="shared" si="1"/>
        <v>13</v>
      </c>
      <c r="I18" s="7" t="s">
        <v>107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9</v>
      </c>
      <c r="P18" s="7">
        <v>0</v>
      </c>
      <c r="Q18" s="7">
        <v>4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11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</row>
    <row r="19" spans="1:72" x14ac:dyDescent="0.2">
      <c r="A19" s="7" t="s">
        <v>6</v>
      </c>
      <c r="B19" s="7">
        <v>2</v>
      </c>
      <c r="C19" s="7" t="s">
        <v>49</v>
      </c>
      <c r="D19" s="7">
        <v>0.87</v>
      </c>
      <c r="E19" s="7">
        <f t="shared" si="0"/>
        <v>0.9</v>
      </c>
      <c r="F19" s="7">
        <v>0</v>
      </c>
      <c r="G19" s="7">
        <v>20</v>
      </c>
      <c r="H19" s="7">
        <f t="shared" si="1"/>
        <v>18</v>
      </c>
      <c r="I19" s="7" t="s">
        <v>108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</v>
      </c>
      <c r="P19" s="7">
        <v>0</v>
      </c>
      <c r="Q19" s="7">
        <v>15</v>
      </c>
      <c r="R19" s="7">
        <v>0</v>
      </c>
      <c r="S19" s="7">
        <v>2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11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</row>
    <row r="20" spans="1:72" x14ac:dyDescent="0.2">
      <c r="A20" s="7" t="s">
        <v>6</v>
      </c>
      <c r="B20" s="7">
        <v>2</v>
      </c>
      <c r="C20" s="7" t="s">
        <v>49</v>
      </c>
      <c r="D20" s="7">
        <v>0.82</v>
      </c>
      <c r="E20" s="7">
        <f t="shared" si="0"/>
        <v>0.95</v>
      </c>
      <c r="F20" s="7">
        <v>0</v>
      </c>
      <c r="G20" s="7">
        <v>20</v>
      </c>
      <c r="H20" s="7">
        <f t="shared" si="1"/>
        <v>19</v>
      </c>
      <c r="I20" s="7" t="s">
        <v>93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11</v>
      </c>
      <c r="P20" s="7">
        <v>0</v>
      </c>
      <c r="Q20" s="7">
        <v>8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11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</row>
    <row r="21" spans="1:72" x14ac:dyDescent="0.2">
      <c r="A21" s="7" t="s">
        <v>6</v>
      </c>
      <c r="B21" s="7">
        <v>2</v>
      </c>
      <c r="C21" s="7" t="s">
        <v>49</v>
      </c>
      <c r="D21" s="7">
        <v>0.93</v>
      </c>
      <c r="E21" s="7">
        <f t="shared" si="0"/>
        <v>0.95</v>
      </c>
      <c r="F21" s="7">
        <v>0</v>
      </c>
      <c r="G21" s="7">
        <v>20</v>
      </c>
      <c r="H21" s="7">
        <f t="shared" si="1"/>
        <v>19</v>
      </c>
      <c r="I21" s="7" t="s">
        <v>109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14</v>
      </c>
      <c r="R21" s="7">
        <v>0</v>
      </c>
      <c r="S21" s="7">
        <v>4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11">
        <v>0</v>
      </c>
      <c r="AD21" s="7">
        <v>0</v>
      </c>
      <c r="AE21" s="7">
        <v>1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</row>
    <row r="22" spans="1:72" x14ac:dyDescent="0.2">
      <c r="A22" s="7" t="s">
        <v>6</v>
      </c>
      <c r="B22" s="7">
        <v>2</v>
      </c>
      <c r="C22" s="7" t="s">
        <v>49</v>
      </c>
      <c r="D22" s="7">
        <v>0.95</v>
      </c>
      <c r="E22" s="7">
        <f t="shared" si="0"/>
        <v>1</v>
      </c>
      <c r="F22" s="7">
        <v>0</v>
      </c>
      <c r="G22" s="7">
        <v>20</v>
      </c>
      <c r="H22" s="7">
        <f t="shared" si="1"/>
        <v>20</v>
      </c>
      <c r="I22" s="7" t="s">
        <v>96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8</v>
      </c>
      <c r="P22" s="7">
        <v>0</v>
      </c>
      <c r="Q22" s="7">
        <v>9</v>
      </c>
      <c r="R22" s="7">
        <v>0</v>
      </c>
      <c r="S22" s="7">
        <v>1</v>
      </c>
      <c r="T22" s="7">
        <v>0</v>
      </c>
      <c r="U22" s="7">
        <v>0</v>
      </c>
      <c r="V22" s="7">
        <v>0</v>
      </c>
      <c r="W22" s="7">
        <v>0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11">
        <v>0</v>
      </c>
      <c r="AD22" s="7">
        <v>0</v>
      </c>
      <c r="AE22" s="7">
        <v>0</v>
      </c>
      <c r="AF22" s="7">
        <v>0</v>
      </c>
      <c r="AG22" s="7">
        <v>1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</row>
    <row r="23" spans="1:72" x14ac:dyDescent="0.2">
      <c r="A23" s="7" t="s">
        <v>6</v>
      </c>
      <c r="B23" s="7">
        <v>2</v>
      </c>
      <c r="C23" s="7" t="s">
        <v>49</v>
      </c>
      <c r="D23" s="7">
        <v>0.93</v>
      </c>
      <c r="E23" s="7">
        <f t="shared" si="0"/>
        <v>0.95</v>
      </c>
      <c r="F23" s="7">
        <v>1</v>
      </c>
      <c r="G23" s="7">
        <v>20</v>
      </c>
      <c r="H23" s="7">
        <f t="shared" si="1"/>
        <v>18</v>
      </c>
      <c r="I23" s="7" t="s">
        <v>97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1</v>
      </c>
      <c r="P23" s="7">
        <v>0</v>
      </c>
      <c r="Q23" s="7">
        <v>14</v>
      </c>
      <c r="R23" s="7">
        <v>0</v>
      </c>
      <c r="S23" s="7">
        <v>3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11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</row>
    <row r="24" spans="1:72" x14ac:dyDescent="0.2">
      <c r="A24" s="7" t="s">
        <v>6</v>
      </c>
      <c r="B24" s="7">
        <v>2</v>
      </c>
      <c r="C24" s="7" t="s">
        <v>49</v>
      </c>
      <c r="D24" s="7">
        <v>0.93</v>
      </c>
      <c r="E24" s="7">
        <f t="shared" si="0"/>
        <v>1</v>
      </c>
      <c r="F24" s="7">
        <v>0</v>
      </c>
      <c r="G24" s="7">
        <v>20</v>
      </c>
      <c r="H24" s="7">
        <f t="shared" si="1"/>
        <v>20</v>
      </c>
      <c r="I24" s="7" t="s">
        <v>98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5</v>
      </c>
      <c r="P24" s="7">
        <v>0</v>
      </c>
      <c r="Q24" s="7">
        <v>11</v>
      </c>
      <c r="R24" s="7">
        <v>0</v>
      </c>
      <c r="S24" s="7">
        <v>3</v>
      </c>
      <c r="T24" s="7">
        <v>0</v>
      </c>
      <c r="U24" s="7">
        <v>0</v>
      </c>
      <c r="V24" s="7">
        <v>1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11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</row>
    <row r="25" spans="1:72" x14ac:dyDescent="0.2">
      <c r="A25" s="7" t="s">
        <v>6</v>
      </c>
      <c r="B25" s="7">
        <v>2</v>
      </c>
      <c r="C25" s="7" t="s">
        <v>49</v>
      </c>
      <c r="D25" s="7">
        <v>0.93</v>
      </c>
      <c r="E25" s="7">
        <f t="shared" si="0"/>
        <v>0.85</v>
      </c>
      <c r="F25" s="7">
        <v>0</v>
      </c>
      <c r="G25" s="7">
        <v>20</v>
      </c>
      <c r="H25" s="7">
        <f t="shared" si="1"/>
        <v>17</v>
      </c>
      <c r="I25" s="7" t="s">
        <v>100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5</v>
      </c>
      <c r="P25" s="7">
        <v>0</v>
      </c>
      <c r="Q25" s="7">
        <v>10</v>
      </c>
      <c r="R25" s="7">
        <v>0</v>
      </c>
      <c r="S25" s="7">
        <v>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11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</row>
    <row r="26" spans="1:72" x14ac:dyDescent="0.2">
      <c r="A26" s="7" t="s">
        <v>6</v>
      </c>
      <c r="B26" s="7">
        <v>2</v>
      </c>
      <c r="C26" s="7" t="s">
        <v>49</v>
      </c>
      <c r="D26" s="7">
        <v>0.85</v>
      </c>
      <c r="E26" s="7">
        <f t="shared" si="0"/>
        <v>0.8</v>
      </c>
      <c r="F26" s="7">
        <v>0</v>
      </c>
      <c r="G26" s="7">
        <v>20</v>
      </c>
      <c r="H26" s="7">
        <f t="shared" si="1"/>
        <v>16</v>
      </c>
      <c r="I26" s="7" t="s">
        <v>101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15</v>
      </c>
      <c r="R26" s="7">
        <v>0</v>
      </c>
      <c r="S26" s="7">
        <v>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11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</row>
    <row r="27" spans="1:72" x14ac:dyDescent="0.2">
      <c r="A27" s="7" t="s">
        <v>6</v>
      </c>
      <c r="B27" s="7">
        <v>2</v>
      </c>
      <c r="C27" s="7" t="s">
        <v>49</v>
      </c>
      <c r="D27" s="7">
        <v>0.96</v>
      </c>
      <c r="E27" s="7">
        <f t="shared" si="0"/>
        <v>0.85</v>
      </c>
      <c r="F27" s="7">
        <v>0</v>
      </c>
      <c r="G27" s="7">
        <v>20</v>
      </c>
      <c r="H27" s="7">
        <f t="shared" si="1"/>
        <v>17</v>
      </c>
      <c r="I27" s="7" t="s">
        <v>110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9</v>
      </c>
      <c r="P27" s="7">
        <v>0</v>
      </c>
      <c r="Q27" s="7">
        <v>6</v>
      </c>
      <c r="R27" s="7">
        <v>0</v>
      </c>
      <c r="S27" s="7">
        <v>2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11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</row>
    <row r="28" spans="1:72" s="3" customFormat="1" x14ac:dyDescent="0.2">
      <c r="A28" s="7" t="s">
        <v>6</v>
      </c>
      <c r="B28" s="7">
        <v>2</v>
      </c>
      <c r="C28" s="7" t="s">
        <v>49</v>
      </c>
      <c r="D28" s="7">
        <v>0.83</v>
      </c>
      <c r="E28" s="7">
        <f t="shared" si="0"/>
        <v>0.75</v>
      </c>
      <c r="F28" s="7">
        <v>0</v>
      </c>
      <c r="G28" s="7">
        <v>20</v>
      </c>
      <c r="H28" s="7">
        <f t="shared" si="1"/>
        <v>15</v>
      </c>
      <c r="I28" s="7" t="s">
        <v>111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13</v>
      </c>
      <c r="R28" s="7">
        <v>0</v>
      </c>
      <c r="S28" s="7">
        <v>2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11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</row>
    <row r="29" spans="1:72" x14ac:dyDescent="0.2">
      <c r="A29" s="7" t="s">
        <v>6</v>
      </c>
      <c r="B29" s="7">
        <v>2</v>
      </c>
      <c r="C29" s="7" t="s">
        <v>49</v>
      </c>
      <c r="D29" s="7">
        <v>0.52</v>
      </c>
      <c r="E29" s="7">
        <f t="shared" si="0"/>
        <v>0.65</v>
      </c>
      <c r="F29" s="7">
        <v>0</v>
      </c>
      <c r="G29" s="7">
        <v>20</v>
      </c>
      <c r="H29" s="7">
        <f t="shared" si="1"/>
        <v>13</v>
      </c>
      <c r="I29" s="7" t="s">
        <v>112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6</v>
      </c>
      <c r="P29" s="7">
        <v>0</v>
      </c>
      <c r="Q29" s="7">
        <v>7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11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3">
        <v>0</v>
      </c>
      <c r="BT29" s="3">
        <v>0</v>
      </c>
    </row>
    <row r="30" spans="1:72" x14ac:dyDescent="0.2">
      <c r="A30" s="7" t="s">
        <v>6</v>
      </c>
      <c r="B30" s="7">
        <v>2</v>
      </c>
      <c r="C30" s="7" t="s">
        <v>49</v>
      </c>
      <c r="D30" s="7">
        <v>0.8</v>
      </c>
      <c r="E30" s="7">
        <f t="shared" si="0"/>
        <v>0.75</v>
      </c>
      <c r="F30" s="7">
        <v>0</v>
      </c>
      <c r="G30" s="7">
        <v>20</v>
      </c>
      <c r="H30" s="7">
        <f t="shared" si="1"/>
        <v>15</v>
      </c>
      <c r="I30" s="7" t="s">
        <v>102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13</v>
      </c>
      <c r="R30" s="7">
        <v>0</v>
      </c>
      <c r="S30" s="7">
        <v>2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11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3">
        <v>0</v>
      </c>
      <c r="BT30" s="3">
        <v>0</v>
      </c>
    </row>
    <row r="31" spans="1:72" x14ac:dyDescent="0.2">
      <c r="A31" s="7" t="s">
        <v>6</v>
      </c>
      <c r="B31" s="7">
        <v>2</v>
      </c>
      <c r="C31" s="7" t="s">
        <v>49</v>
      </c>
      <c r="D31" s="9">
        <v>0.89</v>
      </c>
      <c r="E31" s="7">
        <f t="shared" si="0"/>
        <v>0.55000000000000004</v>
      </c>
      <c r="F31" s="7">
        <v>0</v>
      </c>
      <c r="G31" s="7">
        <v>20</v>
      </c>
      <c r="H31" s="7">
        <f t="shared" si="1"/>
        <v>11</v>
      </c>
      <c r="I31" s="7" t="s">
        <v>113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11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11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3">
        <v>0</v>
      </c>
      <c r="BT31" s="3">
        <v>0</v>
      </c>
    </row>
    <row r="32" spans="1:72" x14ac:dyDescent="0.2">
      <c r="A32" s="7" t="s">
        <v>7</v>
      </c>
      <c r="B32" s="7">
        <v>2</v>
      </c>
      <c r="C32" s="7" t="s">
        <v>49</v>
      </c>
      <c r="D32" s="7">
        <v>0.67</v>
      </c>
      <c r="E32" s="7">
        <f t="shared" si="0"/>
        <v>0.55000000000000004</v>
      </c>
      <c r="F32" s="7">
        <v>1</v>
      </c>
      <c r="G32" s="7">
        <v>20</v>
      </c>
      <c r="H32" s="7">
        <f t="shared" si="1"/>
        <v>10</v>
      </c>
      <c r="I32" s="7" t="s">
        <v>106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5</v>
      </c>
      <c r="T32" s="7">
        <v>0</v>
      </c>
      <c r="U32" s="7">
        <v>0</v>
      </c>
      <c r="V32" s="7">
        <v>5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11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3">
        <v>0</v>
      </c>
      <c r="BT32" s="3">
        <v>0</v>
      </c>
    </row>
    <row r="33" spans="1:72" x14ac:dyDescent="0.2">
      <c r="A33" s="7" t="s">
        <v>7</v>
      </c>
      <c r="B33" s="7">
        <v>2</v>
      </c>
      <c r="C33" s="7" t="s">
        <v>49</v>
      </c>
      <c r="D33" s="7">
        <v>0.87</v>
      </c>
      <c r="E33" s="7">
        <f t="shared" si="0"/>
        <v>0.85</v>
      </c>
      <c r="F33" s="7">
        <v>0</v>
      </c>
      <c r="G33" s="7">
        <v>20</v>
      </c>
      <c r="H33" s="7">
        <f t="shared" si="1"/>
        <v>17</v>
      </c>
      <c r="I33" s="7" t="s">
        <v>108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5</v>
      </c>
      <c r="T33" s="7">
        <v>0</v>
      </c>
      <c r="U33" s="7">
        <v>0</v>
      </c>
      <c r="V33" s="7">
        <v>12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11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3">
        <v>0</v>
      </c>
      <c r="BT33" s="3">
        <v>0</v>
      </c>
    </row>
    <row r="34" spans="1:72" x14ac:dyDescent="0.2">
      <c r="A34" s="7" t="s">
        <v>7</v>
      </c>
      <c r="B34" s="7">
        <v>2</v>
      </c>
      <c r="C34" s="7" t="s">
        <v>49</v>
      </c>
      <c r="D34" s="7">
        <v>0.92</v>
      </c>
      <c r="E34" s="7">
        <f t="shared" si="0"/>
        <v>0.9</v>
      </c>
      <c r="F34" s="7">
        <v>0</v>
      </c>
      <c r="G34" s="7">
        <v>20</v>
      </c>
      <c r="H34" s="7">
        <f t="shared" si="1"/>
        <v>18</v>
      </c>
      <c r="I34" s="7" t="s">
        <v>95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3</v>
      </c>
      <c r="T34" s="7">
        <v>0</v>
      </c>
      <c r="U34" s="7">
        <v>0</v>
      </c>
      <c r="V34" s="7">
        <v>13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11">
        <v>1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1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3">
        <v>0</v>
      </c>
      <c r="BT34" s="3">
        <v>0</v>
      </c>
    </row>
    <row r="35" spans="1:72" x14ac:dyDescent="0.2">
      <c r="A35" s="7" t="s">
        <v>7</v>
      </c>
      <c r="B35" s="7">
        <v>2</v>
      </c>
      <c r="C35" s="7" t="s">
        <v>49</v>
      </c>
      <c r="D35" s="7">
        <v>0.93</v>
      </c>
      <c r="E35" s="7">
        <f t="shared" si="0"/>
        <v>0.9</v>
      </c>
      <c r="F35" s="7">
        <v>0</v>
      </c>
      <c r="G35" s="7">
        <v>20</v>
      </c>
      <c r="H35" s="7">
        <f t="shared" si="1"/>
        <v>18</v>
      </c>
      <c r="I35" s="7" t="s">
        <v>109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1</v>
      </c>
      <c r="T35" s="7">
        <v>0</v>
      </c>
      <c r="U35" s="7">
        <v>0</v>
      </c>
      <c r="V35" s="7">
        <v>14</v>
      </c>
      <c r="W35" s="7">
        <v>0</v>
      </c>
      <c r="X35" s="7">
        <v>3</v>
      </c>
      <c r="Y35" s="7">
        <v>0</v>
      </c>
      <c r="Z35" s="7">
        <v>0</v>
      </c>
      <c r="AA35" s="7">
        <v>0</v>
      </c>
      <c r="AB35" s="7">
        <v>0</v>
      </c>
      <c r="AC35" s="11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3">
        <v>0</v>
      </c>
      <c r="BT35" s="3">
        <v>0</v>
      </c>
    </row>
    <row r="36" spans="1:72" x14ac:dyDescent="0.2">
      <c r="A36" s="7" t="s">
        <v>7</v>
      </c>
      <c r="B36" s="7">
        <v>2</v>
      </c>
      <c r="C36" s="7" t="s">
        <v>49</v>
      </c>
      <c r="D36" s="7">
        <v>0.95</v>
      </c>
      <c r="E36" s="7">
        <f t="shared" si="0"/>
        <v>0.95</v>
      </c>
      <c r="F36" s="7">
        <v>0</v>
      </c>
      <c r="G36" s="7">
        <v>20</v>
      </c>
      <c r="H36" s="7">
        <f t="shared" si="1"/>
        <v>19</v>
      </c>
      <c r="I36" s="7" t="s">
        <v>96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6</v>
      </c>
      <c r="T36" s="7">
        <v>0</v>
      </c>
      <c r="U36" s="7">
        <v>0</v>
      </c>
      <c r="V36" s="7">
        <v>13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11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3">
        <v>0</v>
      </c>
      <c r="BT36" s="3">
        <v>0</v>
      </c>
    </row>
    <row r="37" spans="1:72" x14ac:dyDescent="0.2">
      <c r="A37" s="7" t="s">
        <v>7</v>
      </c>
      <c r="B37" s="7">
        <v>2</v>
      </c>
      <c r="C37" s="7" t="s">
        <v>49</v>
      </c>
      <c r="D37" s="7">
        <v>0.93</v>
      </c>
      <c r="E37" s="7">
        <f t="shared" si="0"/>
        <v>0.75</v>
      </c>
      <c r="F37" s="7">
        <v>0</v>
      </c>
      <c r="G37" s="7">
        <v>20</v>
      </c>
      <c r="H37" s="7">
        <f t="shared" si="1"/>
        <v>15</v>
      </c>
      <c r="I37" s="7" t="s">
        <v>97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</v>
      </c>
      <c r="T37" s="7">
        <v>0</v>
      </c>
      <c r="U37" s="7">
        <v>0</v>
      </c>
      <c r="V37" s="7">
        <v>5</v>
      </c>
      <c r="W37" s="7">
        <v>0</v>
      </c>
      <c r="X37" s="7">
        <v>1</v>
      </c>
      <c r="Y37" s="7">
        <v>0</v>
      </c>
      <c r="Z37" s="7">
        <v>2</v>
      </c>
      <c r="AA37" s="7">
        <v>0</v>
      </c>
      <c r="AB37" s="7">
        <v>0</v>
      </c>
      <c r="AC37" s="11">
        <v>2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3">
        <v>0</v>
      </c>
      <c r="BT37" s="3">
        <v>0</v>
      </c>
    </row>
    <row r="38" spans="1:72" x14ac:dyDescent="0.2">
      <c r="A38" s="7" t="s">
        <v>7</v>
      </c>
      <c r="B38" s="7">
        <v>2</v>
      </c>
      <c r="C38" s="7" t="s">
        <v>49</v>
      </c>
      <c r="D38" s="7">
        <v>0.93</v>
      </c>
      <c r="E38" s="7">
        <f t="shared" si="0"/>
        <v>0.9</v>
      </c>
      <c r="F38" s="7">
        <v>0</v>
      </c>
      <c r="G38" s="7">
        <v>20</v>
      </c>
      <c r="H38" s="7">
        <f t="shared" si="1"/>
        <v>18</v>
      </c>
      <c r="I38" s="7" t="s">
        <v>98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5</v>
      </c>
      <c r="T38" s="7">
        <v>0</v>
      </c>
      <c r="U38" s="7">
        <v>0</v>
      </c>
      <c r="V38" s="7">
        <v>12</v>
      </c>
      <c r="W38" s="7">
        <v>0</v>
      </c>
      <c r="X38" s="7">
        <v>1</v>
      </c>
      <c r="Y38" s="7">
        <v>0</v>
      </c>
      <c r="Z38" s="7">
        <v>0</v>
      </c>
      <c r="AA38" s="7">
        <v>0</v>
      </c>
      <c r="AB38" s="7">
        <v>0</v>
      </c>
      <c r="AC38" s="11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3">
        <v>0</v>
      </c>
      <c r="BT38" s="3">
        <v>0</v>
      </c>
    </row>
    <row r="39" spans="1:72" x14ac:dyDescent="0.2">
      <c r="A39" s="7" t="s">
        <v>7</v>
      </c>
      <c r="B39" s="7">
        <v>2</v>
      </c>
      <c r="C39" s="7" t="s">
        <v>49</v>
      </c>
      <c r="D39" s="7">
        <v>0.93</v>
      </c>
      <c r="E39" s="7">
        <f t="shared" si="0"/>
        <v>0.85</v>
      </c>
      <c r="F39" s="7">
        <v>1</v>
      </c>
      <c r="G39" s="7">
        <v>20</v>
      </c>
      <c r="H39" s="7">
        <f t="shared" si="1"/>
        <v>16</v>
      </c>
      <c r="I39" s="7" t="s">
        <v>99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4</v>
      </c>
      <c r="T39" s="7">
        <v>0</v>
      </c>
      <c r="U39" s="7">
        <v>0</v>
      </c>
      <c r="V39" s="7">
        <v>12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11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3">
        <v>0</v>
      </c>
      <c r="BT39" s="3">
        <v>0</v>
      </c>
    </row>
    <row r="40" spans="1:72" x14ac:dyDescent="0.2">
      <c r="A40" s="7" t="s">
        <v>7</v>
      </c>
      <c r="B40" s="7">
        <v>2</v>
      </c>
      <c r="C40" s="7" t="s">
        <v>49</v>
      </c>
      <c r="D40" s="7">
        <v>0.93</v>
      </c>
      <c r="E40" s="7">
        <f t="shared" si="0"/>
        <v>0.8</v>
      </c>
      <c r="F40" s="7">
        <v>0</v>
      </c>
      <c r="G40" s="7">
        <v>20</v>
      </c>
      <c r="H40" s="7">
        <f t="shared" si="1"/>
        <v>16</v>
      </c>
      <c r="I40" s="7" t="s">
        <v>100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8</v>
      </c>
      <c r="T40" s="7">
        <v>0</v>
      </c>
      <c r="U40" s="7">
        <v>0</v>
      </c>
      <c r="V40" s="7">
        <v>7</v>
      </c>
      <c r="W40" s="7">
        <v>0</v>
      </c>
      <c r="X40" s="7">
        <v>1</v>
      </c>
      <c r="Y40" s="7">
        <v>0</v>
      </c>
      <c r="Z40" s="7">
        <v>0</v>
      </c>
      <c r="AA40" s="7">
        <v>0</v>
      </c>
      <c r="AB40" s="7">
        <v>0</v>
      </c>
      <c r="AC40" s="11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3">
        <v>0</v>
      </c>
      <c r="BT40" s="3">
        <v>0</v>
      </c>
    </row>
    <row r="41" spans="1:72" x14ac:dyDescent="0.2">
      <c r="A41" s="7" t="s">
        <v>7</v>
      </c>
      <c r="B41" s="7">
        <v>2</v>
      </c>
      <c r="C41" s="7" t="s">
        <v>49</v>
      </c>
      <c r="D41" s="7">
        <v>0.85</v>
      </c>
      <c r="E41" s="7">
        <f t="shared" si="0"/>
        <v>0.8</v>
      </c>
      <c r="F41" s="7">
        <v>0</v>
      </c>
      <c r="G41" s="7">
        <v>20</v>
      </c>
      <c r="H41" s="7">
        <f t="shared" si="1"/>
        <v>16</v>
      </c>
      <c r="I41" s="7" t="s">
        <v>101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4</v>
      </c>
      <c r="T41" s="7">
        <v>0</v>
      </c>
      <c r="U41" s="7">
        <v>0</v>
      </c>
      <c r="V41" s="7">
        <v>11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11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3">
        <v>0</v>
      </c>
      <c r="BT41" s="3">
        <v>0</v>
      </c>
    </row>
    <row r="42" spans="1:72" x14ac:dyDescent="0.2">
      <c r="A42" s="7" t="s">
        <v>7</v>
      </c>
      <c r="B42" s="7">
        <v>2</v>
      </c>
      <c r="C42" s="7" t="s">
        <v>49</v>
      </c>
      <c r="D42" s="7">
        <v>0.96</v>
      </c>
      <c r="E42" s="7">
        <f t="shared" si="0"/>
        <v>0.85</v>
      </c>
      <c r="F42" s="7">
        <v>0</v>
      </c>
      <c r="G42" s="7">
        <v>20</v>
      </c>
      <c r="H42" s="7">
        <f t="shared" si="1"/>
        <v>17</v>
      </c>
      <c r="I42" s="7" t="s">
        <v>110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11</v>
      </c>
      <c r="T42" s="7">
        <v>0</v>
      </c>
      <c r="U42" s="7">
        <v>0</v>
      </c>
      <c r="V42" s="7">
        <v>6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11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3">
        <v>0</v>
      </c>
      <c r="BT42" s="3">
        <v>0</v>
      </c>
    </row>
    <row r="43" spans="1:72" x14ac:dyDescent="0.2">
      <c r="A43" s="7" t="s">
        <v>7</v>
      </c>
      <c r="B43" s="7">
        <v>2</v>
      </c>
      <c r="C43" s="7" t="s">
        <v>49</v>
      </c>
      <c r="D43" s="7">
        <v>0.65</v>
      </c>
      <c r="E43" s="7">
        <f t="shared" si="0"/>
        <v>0.75</v>
      </c>
      <c r="F43" s="7">
        <v>0</v>
      </c>
      <c r="G43" s="7">
        <v>20</v>
      </c>
      <c r="H43" s="7">
        <f t="shared" si="1"/>
        <v>15</v>
      </c>
      <c r="I43" s="7" t="s">
        <v>114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10</v>
      </c>
      <c r="T43" s="7">
        <v>0</v>
      </c>
      <c r="U43" s="7">
        <v>0</v>
      </c>
      <c r="V43" s="7">
        <v>4</v>
      </c>
      <c r="W43" s="7">
        <v>0</v>
      </c>
      <c r="X43" s="7">
        <v>1</v>
      </c>
      <c r="Y43" s="7">
        <v>0</v>
      </c>
      <c r="Z43" s="7">
        <v>0</v>
      </c>
      <c r="AA43" s="7">
        <v>0</v>
      </c>
      <c r="AB43" s="7">
        <v>0</v>
      </c>
      <c r="AC43" s="11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3">
        <v>0</v>
      </c>
      <c r="BT43" s="3">
        <v>0</v>
      </c>
    </row>
    <row r="44" spans="1:72" x14ac:dyDescent="0.2">
      <c r="A44" s="7" t="s">
        <v>7</v>
      </c>
      <c r="B44" s="7">
        <v>2</v>
      </c>
      <c r="C44" s="7" t="s">
        <v>49</v>
      </c>
      <c r="D44" s="7">
        <v>0.52</v>
      </c>
      <c r="E44" s="7">
        <f t="shared" si="0"/>
        <v>0.85</v>
      </c>
      <c r="F44" s="7">
        <v>0</v>
      </c>
      <c r="G44" s="7">
        <v>20</v>
      </c>
      <c r="H44" s="7">
        <f t="shared" si="1"/>
        <v>17</v>
      </c>
      <c r="I44" s="7" t="s">
        <v>112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8</v>
      </c>
      <c r="R44" s="7">
        <v>0</v>
      </c>
      <c r="S44" s="7">
        <v>9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11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3">
        <v>0</v>
      </c>
      <c r="BT44" s="3">
        <v>0</v>
      </c>
    </row>
    <row r="45" spans="1:72" x14ac:dyDescent="0.2">
      <c r="A45" s="7" t="s">
        <v>7</v>
      </c>
      <c r="B45" s="7">
        <v>2</v>
      </c>
      <c r="C45" s="7" t="s">
        <v>49</v>
      </c>
      <c r="D45" s="7">
        <v>0.8</v>
      </c>
      <c r="E45" s="7">
        <f t="shared" si="0"/>
        <v>0.7</v>
      </c>
      <c r="F45" s="7">
        <v>0</v>
      </c>
      <c r="G45" s="7">
        <v>20</v>
      </c>
      <c r="H45" s="7">
        <f t="shared" si="1"/>
        <v>14</v>
      </c>
      <c r="I45" s="7" t="s">
        <v>102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5</v>
      </c>
      <c r="T45" s="7">
        <v>0</v>
      </c>
      <c r="U45" s="7">
        <v>0</v>
      </c>
      <c r="V45" s="7">
        <v>9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11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3">
        <v>0</v>
      </c>
      <c r="BT45" s="3">
        <v>0</v>
      </c>
    </row>
    <row r="46" spans="1:72" x14ac:dyDescent="0.2">
      <c r="A46" s="7" t="s">
        <v>7</v>
      </c>
      <c r="B46" s="7">
        <v>2</v>
      </c>
      <c r="C46" s="7" t="s">
        <v>49</v>
      </c>
      <c r="D46" s="9">
        <v>0.92</v>
      </c>
      <c r="E46" s="7">
        <f t="shared" si="0"/>
        <v>0.8</v>
      </c>
      <c r="F46" s="7">
        <v>0</v>
      </c>
      <c r="G46" s="7">
        <v>20</v>
      </c>
      <c r="H46" s="7">
        <f t="shared" si="1"/>
        <v>16</v>
      </c>
      <c r="I46" s="7" t="s">
        <v>103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13</v>
      </c>
      <c r="R46" s="7">
        <v>0</v>
      </c>
      <c r="S46" s="7">
        <v>2</v>
      </c>
      <c r="T46" s="7">
        <v>0</v>
      </c>
      <c r="U46" s="7">
        <v>0</v>
      </c>
      <c r="V46" s="7">
        <v>1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11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3">
        <v>0</v>
      </c>
      <c r="BT46" s="3">
        <v>0</v>
      </c>
    </row>
    <row r="47" spans="1:72" x14ac:dyDescent="0.2">
      <c r="A47" s="7" t="s">
        <v>8</v>
      </c>
      <c r="B47" s="7">
        <v>2</v>
      </c>
      <c r="C47" s="7" t="s">
        <v>49</v>
      </c>
      <c r="D47" s="7">
        <v>0.84</v>
      </c>
      <c r="E47" s="7">
        <f t="shared" si="0"/>
        <v>0.9</v>
      </c>
      <c r="F47" s="7">
        <v>0</v>
      </c>
      <c r="G47" s="7">
        <v>20</v>
      </c>
      <c r="H47" s="7">
        <f t="shared" si="1"/>
        <v>18</v>
      </c>
      <c r="I47" s="7" t="s">
        <v>115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0</v>
      </c>
      <c r="U47" s="7">
        <v>0</v>
      </c>
      <c r="V47" s="7">
        <v>9</v>
      </c>
      <c r="W47" s="7">
        <v>0</v>
      </c>
      <c r="X47" s="7">
        <v>4</v>
      </c>
      <c r="Y47" s="7">
        <v>0</v>
      </c>
      <c r="Z47" s="7">
        <v>0</v>
      </c>
      <c r="AA47" s="7">
        <v>0</v>
      </c>
      <c r="AB47" s="7">
        <v>0</v>
      </c>
      <c r="AC47" s="11">
        <v>0</v>
      </c>
      <c r="AD47" s="7">
        <v>0</v>
      </c>
      <c r="AE47" s="7">
        <v>3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1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3">
        <v>0</v>
      </c>
      <c r="BT47" s="3">
        <v>0</v>
      </c>
    </row>
    <row r="48" spans="1:72" x14ac:dyDescent="0.2">
      <c r="A48" s="7" t="s">
        <v>8</v>
      </c>
      <c r="B48" s="7">
        <v>2</v>
      </c>
      <c r="C48" s="7" t="s">
        <v>49</v>
      </c>
      <c r="D48" s="7">
        <v>0.92</v>
      </c>
      <c r="E48" s="7">
        <f t="shared" si="0"/>
        <v>0.95</v>
      </c>
      <c r="F48" s="7">
        <v>0</v>
      </c>
      <c r="G48" s="7">
        <v>20</v>
      </c>
      <c r="H48" s="7">
        <f t="shared" si="1"/>
        <v>19</v>
      </c>
      <c r="I48" s="7" t="s">
        <v>116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6</v>
      </c>
      <c r="R48" s="7">
        <v>0</v>
      </c>
      <c r="S48" s="7">
        <v>12</v>
      </c>
      <c r="T48" s="7">
        <v>0</v>
      </c>
      <c r="U48" s="7">
        <v>0</v>
      </c>
      <c r="V48" s="7">
        <v>1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11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3">
        <v>0</v>
      </c>
      <c r="BT48" s="3">
        <v>0</v>
      </c>
    </row>
    <row r="49" spans="1:72" x14ac:dyDescent="0.2">
      <c r="A49" s="7" t="s">
        <v>8</v>
      </c>
      <c r="B49" s="7">
        <v>2</v>
      </c>
      <c r="C49" s="7" t="s">
        <v>49</v>
      </c>
      <c r="D49" s="7">
        <v>0.87</v>
      </c>
      <c r="E49" s="7">
        <f t="shared" si="0"/>
        <v>0.8</v>
      </c>
      <c r="F49" s="7">
        <v>0</v>
      </c>
      <c r="G49" s="7">
        <v>20</v>
      </c>
      <c r="H49" s="7">
        <f t="shared" si="1"/>
        <v>16</v>
      </c>
      <c r="I49" s="7" t="s">
        <v>108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8</v>
      </c>
      <c r="T49" s="7">
        <v>0</v>
      </c>
      <c r="U49" s="7">
        <v>0</v>
      </c>
      <c r="V49" s="7">
        <v>5</v>
      </c>
      <c r="W49" s="7">
        <v>0</v>
      </c>
      <c r="X49" s="7">
        <v>1</v>
      </c>
      <c r="Y49" s="7">
        <v>0</v>
      </c>
      <c r="Z49" s="7">
        <v>1</v>
      </c>
      <c r="AA49" s="7">
        <v>0</v>
      </c>
      <c r="AB49" s="7">
        <v>0</v>
      </c>
      <c r="AC49" s="11">
        <v>1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3">
        <v>0</v>
      </c>
      <c r="BT49" s="3">
        <v>0</v>
      </c>
    </row>
    <row r="50" spans="1:72" x14ac:dyDescent="0.2">
      <c r="A50" s="7" t="s">
        <v>8</v>
      </c>
      <c r="B50" s="7">
        <v>2</v>
      </c>
      <c r="C50" s="7" t="s">
        <v>49</v>
      </c>
      <c r="D50" s="7">
        <v>0.74</v>
      </c>
      <c r="E50" s="7">
        <f t="shared" si="0"/>
        <v>0.7</v>
      </c>
      <c r="F50" s="7">
        <v>0</v>
      </c>
      <c r="G50" s="7">
        <v>20</v>
      </c>
      <c r="H50" s="7">
        <f t="shared" si="1"/>
        <v>14</v>
      </c>
      <c r="I50" s="7" t="s">
        <v>117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4</v>
      </c>
      <c r="T50" s="7">
        <v>0</v>
      </c>
      <c r="U50" s="7">
        <v>0</v>
      </c>
      <c r="V50" s="7">
        <v>10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11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3">
        <v>0</v>
      </c>
      <c r="BT50" s="3">
        <v>0</v>
      </c>
    </row>
    <row r="51" spans="1:72" x14ac:dyDescent="0.2">
      <c r="A51" s="7" t="s">
        <v>8</v>
      </c>
      <c r="B51" s="7">
        <v>2</v>
      </c>
      <c r="C51" s="7" t="s">
        <v>49</v>
      </c>
      <c r="D51" s="7">
        <v>0.64</v>
      </c>
      <c r="E51" s="7">
        <f t="shared" si="0"/>
        <v>0.15</v>
      </c>
      <c r="F51" s="7">
        <v>0</v>
      </c>
      <c r="G51" s="7">
        <v>20</v>
      </c>
      <c r="H51" s="7">
        <f t="shared" si="1"/>
        <v>3</v>
      </c>
      <c r="I51" s="7" t="s">
        <v>118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3</v>
      </c>
      <c r="Y51" s="7">
        <v>0</v>
      </c>
      <c r="Z51" s="7">
        <v>0</v>
      </c>
      <c r="AA51" s="7">
        <v>0</v>
      </c>
      <c r="AB51" s="7">
        <v>0</v>
      </c>
      <c r="AC51" s="11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3">
        <v>0</v>
      </c>
      <c r="BT51" s="3">
        <v>0</v>
      </c>
    </row>
    <row r="52" spans="1:72" x14ac:dyDescent="0.2">
      <c r="A52" s="7" t="s">
        <v>8</v>
      </c>
      <c r="B52" s="7">
        <v>2</v>
      </c>
      <c r="C52" s="7" t="s">
        <v>49</v>
      </c>
      <c r="D52" s="7">
        <v>0.82</v>
      </c>
      <c r="E52" s="7">
        <f t="shared" si="0"/>
        <v>0.8</v>
      </c>
      <c r="F52" s="7">
        <v>0</v>
      </c>
      <c r="G52" s="7">
        <v>20</v>
      </c>
      <c r="H52" s="7">
        <f t="shared" si="1"/>
        <v>16</v>
      </c>
      <c r="I52" s="7" t="s">
        <v>93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4</v>
      </c>
      <c r="T52" s="7">
        <v>0</v>
      </c>
      <c r="U52" s="7">
        <v>0</v>
      </c>
      <c r="V52" s="7">
        <v>10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11">
        <v>0</v>
      </c>
      <c r="AD52" s="7">
        <v>0</v>
      </c>
      <c r="AE52" s="7">
        <v>2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3">
        <v>0</v>
      </c>
      <c r="BT52" s="3">
        <v>0</v>
      </c>
    </row>
    <row r="53" spans="1:72" x14ac:dyDescent="0.2">
      <c r="A53" s="7" t="s">
        <v>8</v>
      </c>
      <c r="B53" s="7">
        <v>2</v>
      </c>
      <c r="C53" s="7" t="s">
        <v>49</v>
      </c>
      <c r="D53" s="7">
        <v>0.89</v>
      </c>
      <c r="E53" s="7">
        <f t="shared" si="0"/>
        <v>0.75</v>
      </c>
      <c r="F53" s="7">
        <v>0</v>
      </c>
      <c r="G53" s="7">
        <v>20</v>
      </c>
      <c r="H53" s="7">
        <f t="shared" si="1"/>
        <v>15</v>
      </c>
      <c r="I53" s="7" t="s">
        <v>94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3</v>
      </c>
      <c r="W53" s="7">
        <v>0</v>
      </c>
      <c r="X53" s="7">
        <v>6</v>
      </c>
      <c r="Y53" s="7">
        <v>0</v>
      </c>
      <c r="Z53" s="7">
        <v>0</v>
      </c>
      <c r="AA53" s="7">
        <v>0</v>
      </c>
      <c r="AB53" s="7">
        <v>0</v>
      </c>
      <c r="AC53" s="7">
        <v>6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3">
        <v>0</v>
      </c>
      <c r="BT53" s="3">
        <v>0</v>
      </c>
    </row>
    <row r="54" spans="1:72" x14ac:dyDescent="0.2">
      <c r="A54" s="7" t="s">
        <v>8</v>
      </c>
      <c r="B54" s="7">
        <v>2</v>
      </c>
      <c r="C54" s="7" t="s">
        <v>49</v>
      </c>
      <c r="D54" s="7">
        <v>0.93</v>
      </c>
      <c r="E54" s="7">
        <f t="shared" si="0"/>
        <v>0.4</v>
      </c>
      <c r="F54" s="7">
        <v>0</v>
      </c>
      <c r="G54" s="7">
        <v>20</v>
      </c>
      <c r="H54" s="7">
        <f t="shared" si="1"/>
        <v>8</v>
      </c>
      <c r="I54" s="7" t="s">
        <v>109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1</v>
      </c>
      <c r="T54" s="7">
        <v>0</v>
      </c>
      <c r="U54" s="7">
        <v>0</v>
      </c>
      <c r="V54" s="7">
        <v>3</v>
      </c>
      <c r="W54" s="7">
        <v>0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3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3">
        <v>0</v>
      </c>
      <c r="BT54" s="3">
        <v>0</v>
      </c>
    </row>
    <row r="55" spans="1:72" s="3" customFormat="1" x14ac:dyDescent="0.2">
      <c r="A55" s="7" t="s">
        <v>8</v>
      </c>
      <c r="B55" s="7">
        <v>2</v>
      </c>
      <c r="C55" s="7" t="s">
        <v>49</v>
      </c>
      <c r="D55" s="7">
        <v>0.95</v>
      </c>
      <c r="E55" s="7">
        <f t="shared" si="0"/>
        <v>0.85</v>
      </c>
      <c r="F55" s="7">
        <v>0</v>
      </c>
      <c r="G55" s="7">
        <v>20</v>
      </c>
      <c r="H55" s="7">
        <f t="shared" si="1"/>
        <v>17</v>
      </c>
      <c r="I55" s="7" t="s">
        <v>96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11</v>
      </c>
      <c r="W55" s="7">
        <v>0</v>
      </c>
      <c r="X55" s="7">
        <v>2</v>
      </c>
      <c r="Y55" s="7">
        <v>0</v>
      </c>
      <c r="Z55" s="7">
        <v>0</v>
      </c>
      <c r="AA55" s="7">
        <v>0</v>
      </c>
      <c r="AB55" s="7">
        <v>0</v>
      </c>
      <c r="AC55" s="7">
        <v>1</v>
      </c>
      <c r="AD55" s="7">
        <v>0</v>
      </c>
      <c r="AE55" s="7">
        <v>1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1</v>
      </c>
      <c r="AM55" s="7">
        <v>0</v>
      </c>
      <c r="AN55" s="7">
        <v>0</v>
      </c>
      <c r="AO55" s="7">
        <v>0</v>
      </c>
      <c r="AP55" s="7">
        <v>0</v>
      </c>
      <c r="AQ55" s="7">
        <v>1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3">
        <v>0</v>
      </c>
      <c r="BT55" s="3">
        <v>0</v>
      </c>
    </row>
    <row r="56" spans="1:72" x14ac:dyDescent="0.2">
      <c r="A56" s="7" t="s">
        <v>8</v>
      </c>
      <c r="B56" s="7">
        <v>2</v>
      </c>
      <c r="C56" s="7" t="s">
        <v>49</v>
      </c>
      <c r="D56" s="7">
        <v>0.93</v>
      </c>
      <c r="E56" s="7">
        <f t="shared" si="0"/>
        <v>0.85</v>
      </c>
      <c r="F56" s="7">
        <v>0</v>
      </c>
      <c r="G56" s="7">
        <v>20</v>
      </c>
      <c r="H56" s="7">
        <f t="shared" si="1"/>
        <v>17</v>
      </c>
      <c r="I56" s="7" t="s">
        <v>97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7</v>
      </c>
      <c r="W56" s="7">
        <v>0</v>
      </c>
      <c r="X56" s="7">
        <v>4</v>
      </c>
      <c r="Y56" s="7">
        <v>0</v>
      </c>
      <c r="Z56" s="7">
        <v>2</v>
      </c>
      <c r="AA56" s="7">
        <v>0</v>
      </c>
      <c r="AB56" s="7">
        <v>0</v>
      </c>
      <c r="AC56" s="7">
        <v>0</v>
      </c>
      <c r="AD56" s="7">
        <v>0</v>
      </c>
      <c r="AE56" s="7">
        <v>2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1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3">
        <v>0</v>
      </c>
      <c r="BT56" s="3">
        <v>0</v>
      </c>
    </row>
    <row r="57" spans="1:72" x14ac:dyDescent="0.2">
      <c r="A57" s="7" t="s">
        <v>8</v>
      </c>
      <c r="B57" s="7">
        <v>2</v>
      </c>
      <c r="C57" s="7" t="s">
        <v>49</v>
      </c>
      <c r="D57" s="7">
        <v>0.85</v>
      </c>
      <c r="E57" s="7">
        <f t="shared" si="0"/>
        <v>0.75</v>
      </c>
      <c r="F57" s="7">
        <v>0</v>
      </c>
      <c r="G57" s="7">
        <v>20</v>
      </c>
      <c r="H57" s="7">
        <f t="shared" si="1"/>
        <v>15</v>
      </c>
      <c r="I57" s="7" t="s">
        <v>119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6</v>
      </c>
      <c r="T57" s="7">
        <v>0</v>
      </c>
      <c r="U57" s="7">
        <v>0</v>
      </c>
      <c r="V57" s="7">
        <v>4</v>
      </c>
      <c r="W57" s="7">
        <v>0</v>
      </c>
      <c r="X57" s="7">
        <v>4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3">
        <v>0</v>
      </c>
      <c r="BT57" s="3">
        <v>0</v>
      </c>
    </row>
    <row r="58" spans="1:72" x14ac:dyDescent="0.2">
      <c r="A58" s="7" t="s">
        <v>8</v>
      </c>
      <c r="B58" s="7">
        <v>2</v>
      </c>
      <c r="C58" s="7" t="s">
        <v>49</v>
      </c>
      <c r="D58" s="7">
        <v>0.83</v>
      </c>
      <c r="E58" s="7">
        <f t="shared" si="0"/>
        <v>0.75</v>
      </c>
      <c r="F58" s="7">
        <v>0</v>
      </c>
      <c r="G58" s="7">
        <v>20</v>
      </c>
      <c r="H58" s="7">
        <f t="shared" si="1"/>
        <v>15</v>
      </c>
      <c r="I58" s="7" t="s">
        <v>111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5</v>
      </c>
      <c r="R58" s="7">
        <v>0</v>
      </c>
      <c r="S58" s="7">
        <v>7</v>
      </c>
      <c r="T58" s="7">
        <v>0</v>
      </c>
      <c r="U58" s="7">
        <v>0</v>
      </c>
      <c r="V58" s="7">
        <v>3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3">
        <v>0</v>
      </c>
      <c r="BT58" s="3">
        <v>0</v>
      </c>
    </row>
    <row r="59" spans="1:72" x14ac:dyDescent="0.2">
      <c r="A59" s="7" t="s">
        <v>8</v>
      </c>
      <c r="B59" s="7">
        <v>2</v>
      </c>
      <c r="C59" s="7" t="s">
        <v>49</v>
      </c>
      <c r="D59" s="7">
        <v>0.52</v>
      </c>
      <c r="E59" s="7">
        <f t="shared" si="0"/>
        <v>0.45</v>
      </c>
      <c r="F59" s="7">
        <v>0</v>
      </c>
      <c r="G59" s="7">
        <v>20</v>
      </c>
      <c r="H59" s="7">
        <f t="shared" si="1"/>
        <v>9</v>
      </c>
      <c r="I59" s="7" t="s">
        <v>112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2</v>
      </c>
      <c r="W59" s="7">
        <v>0</v>
      </c>
      <c r="X59" s="7">
        <v>5</v>
      </c>
      <c r="Y59" s="7">
        <v>0</v>
      </c>
      <c r="Z59" s="7">
        <v>0</v>
      </c>
      <c r="AA59" s="7">
        <v>0</v>
      </c>
      <c r="AB59" s="7">
        <v>0</v>
      </c>
      <c r="AC59" s="7">
        <v>2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3">
        <v>0</v>
      </c>
      <c r="BT59" s="3">
        <v>0</v>
      </c>
    </row>
    <row r="60" spans="1:72" x14ac:dyDescent="0.2">
      <c r="A60" s="7" t="s">
        <v>8</v>
      </c>
      <c r="B60" s="7">
        <v>2</v>
      </c>
      <c r="C60" s="7" t="s">
        <v>49</v>
      </c>
      <c r="D60" s="7">
        <v>0.92</v>
      </c>
      <c r="E60" s="7">
        <f t="shared" si="0"/>
        <v>0.65</v>
      </c>
      <c r="F60" s="7">
        <v>0</v>
      </c>
      <c r="G60" s="7">
        <v>20</v>
      </c>
      <c r="H60" s="7">
        <f t="shared" si="1"/>
        <v>13</v>
      </c>
      <c r="I60" s="7" t="s">
        <v>103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4</v>
      </c>
      <c r="T60" s="7">
        <v>0</v>
      </c>
      <c r="U60" s="7">
        <v>0</v>
      </c>
      <c r="V60" s="7">
        <v>9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3">
        <v>0</v>
      </c>
      <c r="BT60" s="3">
        <v>0</v>
      </c>
    </row>
    <row r="61" spans="1:72" x14ac:dyDescent="0.2">
      <c r="A61" s="7" t="s">
        <v>8</v>
      </c>
      <c r="B61" s="7">
        <v>2</v>
      </c>
      <c r="C61" s="7" t="s">
        <v>49</v>
      </c>
      <c r="D61" s="9">
        <v>0.86</v>
      </c>
      <c r="E61" s="7">
        <f t="shared" si="0"/>
        <v>0.75</v>
      </c>
      <c r="F61" s="7">
        <v>0</v>
      </c>
      <c r="G61" s="7">
        <v>20</v>
      </c>
      <c r="H61" s="7">
        <f t="shared" si="1"/>
        <v>15</v>
      </c>
      <c r="I61" s="7" t="s">
        <v>104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7</v>
      </c>
      <c r="T61" s="7">
        <v>0</v>
      </c>
      <c r="U61" s="7">
        <v>0</v>
      </c>
      <c r="V61" s="7">
        <v>6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3">
        <v>0</v>
      </c>
      <c r="BT61" s="3">
        <v>0</v>
      </c>
    </row>
    <row r="62" spans="1:72" x14ac:dyDescent="0.2">
      <c r="A62" s="7" t="s">
        <v>9</v>
      </c>
      <c r="B62" s="7">
        <v>2</v>
      </c>
      <c r="C62" s="7" t="s">
        <v>49</v>
      </c>
      <c r="D62" s="7">
        <v>0.67</v>
      </c>
      <c r="E62" s="7">
        <f t="shared" si="0"/>
        <v>0.55000000000000004</v>
      </c>
      <c r="F62" s="7">
        <v>0</v>
      </c>
      <c r="G62" s="7">
        <v>20</v>
      </c>
      <c r="H62" s="7">
        <f t="shared" si="1"/>
        <v>11</v>
      </c>
      <c r="I62" s="7" t="s">
        <v>106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1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3">
        <v>0</v>
      </c>
      <c r="BT62" s="3">
        <v>0</v>
      </c>
    </row>
    <row r="63" spans="1:72" x14ac:dyDescent="0.2">
      <c r="A63" s="7" t="s">
        <v>9</v>
      </c>
      <c r="B63" s="7">
        <v>2</v>
      </c>
      <c r="C63" s="7" t="s">
        <v>49</v>
      </c>
      <c r="D63" s="7">
        <v>0.82</v>
      </c>
      <c r="E63" s="7">
        <f t="shared" si="0"/>
        <v>0.75</v>
      </c>
      <c r="F63" s="7">
        <v>0</v>
      </c>
      <c r="G63" s="7">
        <v>20</v>
      </c>
      <c r="H63" s="7">
        <f t="shared" si="1"/>
        <v>15</v>
      </c>
      <c r="I63" s="7" t="s">
        <v>107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14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3">
        <v>0</v>
      </c>
      <c r="BT63" s="3">
        <v>0</v>
      </c>
    </row>
    <row r="64" spans="1:72" x14ac:dyDescent="0.2">
      <c r="A64" s="7" t="s">
        <v>9</v>
      </c>
      <c r="B64" s="7">
        <v>2</v>
      </c>
      <c r="C64" s="7" t="s">
        <v>49</v>
      </c>
      <c r="D64" s="7">
        <v>0.74</v>
      </c>
      <c r="E64" s="7">
        <f t="shared" si="0"/>
        <v>0.7</v>
      </c>
      <c r="F64" s="7">
        <v>0</v>
      </c>
      <c r="G64" s="7">
        <v>20</v>
      </c>
      <c r="H64" s="7">
        <f t="shared" si="1"/>
        <v>14</v>
      </c>
      <c r="I64" s="7" t="s">
        <v>120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4</v>
      </c>
      <c r="R64" s="7">
        <v>0</v>
      </c>
      <c r="S64" s="7">
        <v>7</v>
      </c>
      <c r="T64" s="7">
        <v>0</v>
      </c>
      <c r="U64" s="7">
        <v>0</v>
      </c>
      <c r="V64" s="7">
        <v>3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3">
        <v>0</v>
      </c>
      <c r="BT64" s="3">
        <v>0</v>
      </c>
    </row>
    <row r="65" spans="1:72" x14ac:dyDescent="0.2">
      <c r="A65" s="7" t="s">
        <v>9</v>
      </c>
      <c r="B65" s="7">
        <v>2</v>
      </c>
      <c r="C65" s="7" t="s">
        <v>49</v>
      </c>
      <c r="D65" s="7">
        <v>0.87</v>
      </c>
      <c r="E65" s="7">
        <f t="shared" si="0"/>
        <v>0.9</v>
      </c>
      <c r="F65" s="7">
        <v>0</v>
      </c>
      <c r="G65" s="7">
        <v>20</v>
      </c>
      <c r="H65" s="7">
        <f t="shared" si="1"/>
        <v>18</v>
      </c>
      <c r="I65" s="7" t="s">
        <v>108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10</v>
      </c>
      <c r="R65" s="7">
        <v>0</v>
      </c>
      <c r="S65" s="7">
        <v>7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3">
        <v>0</v>
      </c>
      <c r="BT65" s="3">
        <v>0</v>
      </c>
    </row>
    <row r="66" spans="1:72" x14ac:dyDescent="0.2">
      <c r="A66" s="7" t="s">
        <v>9</v>
      </c>
      <c r="B66" s="7">
        <v>2</v>
      </c>
      <c r="C66" s="7" t="s">
        <v>49</v>
      </c>
      <c r="D66" s="7">
        <v>0.89</v>
      </c>
      <c r="E66" s="7">
        <f t="shared" si="0"/>
        <v>1</v>
      </c>
      <c r="F66" s="7">
        <v>0</v>
      </c>
      <c r="G66" s="7">
        <v>20</v>
      </c>
      <c r="H66" s="7">
        <f t="shared" si="1"/>
        <v>20</v>
      </c>
      <c r="I66" s="7" t="s">
        <v>94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8</v>
      </c>
      <c r="R66" s="7">
        <v>0</v>
      </c>
      <c r="S66" s="7">
        <v>10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1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3">
        <v>0</v>
      </c>
      <c r="BT66" s="3">
        <v>0</v>
      </c>
    </row>
    <row r="67" spans="1:72" x14ac:dyDescent="0.2">
      <c r="A67" s="7" t="s">
        <v>9</v>
      </c>
      <c r="B67" s="7">
        <v>2</v>
      </c>
      <c r="C67" s="7" t="s">
        <v>49</v>
      </c>
      <c r="D67" s="7">
        <v>0.93</v>
      </c>
      <c r="E67" s="7">
        <f t="shared" ref="E67:E91" si="2">(F67+H67)/20</f>
        <v>1</v>
      </c>
      <c r="F67" s="7">
        <v>0</v>
      </c>
      <c r="G67" s="7">
        <v>20</v>
      </c>
      <c r="H67" s="7">
        <f t="shared" ref="H67:H91" si="3">SUM(J67:AQ67)</f>
        <v>20</v>
      </c>
      <c r="I67" s="7" t="s">
        <v>109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11</v>
      </c>
      <c r="R67" s="7">
        <v>0</v>
      </c>
      <c r="S67" s="7">
        <v>3</v>
      </c>
      <c r="T67" s="7">
        <v>0</v>
      </c>
      <c r="U67" s="7">
        <v>0</v>
      </c>
      <c r="V67" s="7">
        <v>1</v>
      </c>
      <c r="W67" s="7">
        <v>0</v>
      </c>
      <c r="X67" s="7">
        <v>2</v>
      </c>
      <c r="Y67" s="7">
        <v>0</v>
      </c>
      <c r="Z67" s="7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1</v>
      </c>
      <c r="AH67" s="7">
        <v>0</v>
      </c>
      <c r="AI67" s="7">
        <v>0</v>
      </c>
      <c r="AJ67" s="7">
        <v>0</v>
      </c>
      <c r="AK67" s="7">
        <v>0</v>
      </c>
      <c r="AL67" s="7">
        <v>1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3">
        <v>0</v>
      </c>
      <c r="BT67" s="3">
        <v>0</v>
      </c>
    </row>
    <row r="68" spans="1:72" s="3" customFormat="1" x14ac:dyDescent="0.2">
      <c r="A68" s="7" t="s">
        <v>9</v>
      </c>
      <c r="B68" s="7">
        <v>2</v>
      </c>
      <c r="C68" s="7" t="s">
        <v>49</v>
      </c>
      <c r="D68" s="7">
        <v>0.95</v>
      </c>
      <c r="E68" s="7">
        <f t="shared" si="2"/>
        <v>0.95</v>
      </c>
      <c r="F68" s="7">
        <v>0</v>
      </c>
      <c r="G68" s="7">
        <v>20</v>
      </c>
      <c r="H68" s="7">
        <f t="shared" si="3"/>
        <v>19</v>
      </c>
      <c r="I68" s="7" t="s">
        <v>96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1</v>
      </c>
      <c r="P68" s="7">
        <v>0</v>
      </c>
      <c r="Q68" s="7">
        <v>10</v>
      </c>
      <c r="R68" s="7">
        <v>0</v>
      </c>
      <c r="S68" s="7">
        <v>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1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3">
        <v>0</v>
      </c>
      <c r="BT68" s="3">
        <v>0</v>
      </c>
    </row>
    <row r="69" spans="1:72" x14ac:dyDescent="0.2">
      <c r="A69" s="7" t="s">
        <v>9</v>
      </c>
      <c r="B69" s="7">
        <v>2</v>
      </c>
      <c r="C69" s="7" t="s">
        <v>49</v>
      </c>
      <c r="D69" s="7">
        <v>0.93</v>
      </c>
      <c r="E69" s="7">
        <f t="shared" si="2"/>
        <v>1</v>
      </c>
      <c r="F69" s="7">
        <v>0</v>
      </c>
      <c r="G69" s="7">
        <v>20</v>
      </c>
      <c r="H69" s="7">
        <f t="shared" si="3"/>
        <v>20</v>
      </c>
      <c r="I69" s="7" t="s">
        <v>97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2</v>
      </c>
      <c r="R69" s="7">
        <v>0</v>
      </c>
      <c r="S69" s="7">
        <v>9</v>
      </c>
      <c r="T69" s="7">
        <v>0</v>
      </c>
      <c r="U69" s="7">
        <v>0</v>
      </c>
      <c r="V69" s="7">
        <v>9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3">
        <v>0</v>
      </c>
      <c r="BT69" s="3">
        <v>0</v>
      </c>
    </row>
    <row r="70" spans="1:72" x14ac:dyDescent="0.2">
      <c r="A70" s="7" t="s">
        <v>9</v>
      </c>
      <c r="B70" s="7">
        <v>2</v>
      </c>
      <c r="C70" s="7" t="s">
        <v>49</v>
      </c>
      <c r="D70" s="7">
        <v>0.93</v>
      </c>
      <c r="E70" s="7">
        <f t="shared" si="2"/>
        <v>0.9</v>
      </c>
      <c r="F70" s="7">
        <v>0</v>
      </c>
      <c r="G70" s="7">
        <v>20</v>
      </c>
      <c r="H70" s="7">
        <f t="shared" si="3"/>
        <v>18</v>
      </c>
      <c r="I70" s="7" t="s">
        <v>98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7</v>
      </c>
      <c r="R70" s="7">
        <v>0</v>
      </c>
      <c r="S70" s="7">
        <v>8</v>
      </c>
      <c r="T70" s="7">
        <v>0</v>
      </c>
      <c r="U70" s="7">
        <v>0</v>
      </c>
      <c r="V70" s="7">
        <v>3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3">
        <v>0</v>
      </c>
      <c r="BT70" s="3">
        <v>0</v>
      </c>
    </row>
    <row r="71" spans="1:72" x14ac:dyDescent="0.2">
      <c r="A71" s="7" t="s">
        <v>9</v>
      </c>
      <c r="B71" s="7">
        <v>2</v>
      </c>
      <c r="C71" s="7" t="s">
        <v>49</v>
      </c>
      <c r="D71" s="7">
        <v>0.85</v>
      </c>
      <c r="E71" s="7">
        <f t="shared" si="2"/>
        <v>0.9</v>
      </c>
      <c r="F71" s="7">
        <v>0</v>
      </c>
      <c r="G71" s="7">
        <v>20</v>
      </c>
      <c r="H71" s="7">
        <f t="shared" si="3"/>
        <v>18</v>
      </c>
      <c r="I71" s="7" t="s">
        <v>101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6</v>
      </c>
      <c r="R71" s="7">
        <v>0</v>
      </c>
      <c r="S71" s="7">
        <v>12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3">
        <v>0</v>
      </c>
      <c r="BT71" s="3">
        <v>0</v>
      </c>
    </row>
    <row r="72" spans="1:72" x14ac:dyDescent="0.2">
      <c r="A72" s="7" t="s">
        <v>9</v>
      </c>
      <c r="B72" s="7">
        <v>2</v>
      </c>
      <c r="C72" s="7" t="s">
        <v>49</v>
      </c>
      <c r="D72" s="7">
        <v>0.83</v>
      </c>
      <c r="E72" s="7">
        <f t="shared" si="2"/>
        <v>0.9</v>
      </c>
      <c r="F72" s="7">
        <v>0</v>
      </c>
      <c r="G72" s="7">
        <v>20</v>
      </c>
      <c r="H72" s="7">
        <f t="shared" si="3"/>
        <v>18</v>
      </c>
      <c r="I72" s="7" t="s">
        <v>111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12</v>
      </c>
      <c r="R72" s="7">
        <v>0</v>
      </c>
      <c r="S72" s="7">
        <v>5</v>
      </c>
      <c r="T72" s="7">
        <v>0</v>
      </c>
      <c r="U72" s="7">
        <v>0</v>
      </c>
      <c r="V72" s="7">
        <v>1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3">
        <v>0</v>
      </c>
      <c r="BT72" s="3">
        <v>0</v>
      </c>
    </row>
    <row r="73" spans="1:72" x14ac:dyDescent="0.2">
      <c r="A73" s="7" t="s">
        <v>9</v>
      </c>
      <c r="B73" s="7">
        <v>2</v>
      </c>
      <c r="C73" s="7" t="s">
        <v>49</v>
      </c>
      <c r="D73" s="7">
        <v>0.52</v>
      </c>
      <c r="E73" s="7">
        <f t="shared" si="2"/>
        <v>0.7</v>
      </c>
      <c r="F73" s="7">
        <v>0</v>
      </c>
      <c r="G73" s="7">
        <v>20</v>
      </c>
      <c r="H73" s="7">
        <f t="shared" si="3"/>
        <v>14</v>
      </c>
      <c r="I73" s="7" t="s">
        <v>112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7</v>
      </c>
      <c r="R73" s="7">
        <v>0</v>
      </c>
      <c r="S73" s="7">
        <v>6</v>
      </c>
      <c r="T73" s="7">
        <v>0</v>
      </c>
      <c r="U73" s="7">
        <v>0</v>
      </c>
      <c r="V73" s="7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3">
        <v>0</v>
      </c>
      <c r="BT73" s="3">
        <v>0</v>
      </c>
    </row>
    <row r="74" spans="1:72" x14ac:dyDescent="0.2">
      <c r="A74" s="7" t="s">
        <v>9</v>
      </c>
      <c r="B74" s="7">
        <v>2</v>
      </c>
      <c r="C74" s="7" t="s">
        <v>49</v>
      </c>
      <c r="D74" s="7">
        <v>0.8</v>
      </c>
      <c r="E74" s="7">
        <f t="shared" si="2"/>
        <v>0.75</v>
      </c>
      <c r="F74" s="7">
        <v>0</v>
      </c>
      <c r="G74" s="7">
        <v>20</v>
      </c>
      <c r="H74" s="7">
        <f t="shared" si="3"/>
        <v>15</v>
      </c>
      <c r="I74" s="7" t="s">
        <v>102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0</v>
      </c>
      <c r="S74" s="7">
        <v>5</v>
      </c>
      <c r="T74" s="7">
        <v>0</v>
      </c>
      <c r="U74" s="7">
        <v>0</v>
      </c>
      <c r="V74" s="7">
        <v>4</v>
      </c>
      <c r="W74" s="7">
        <v>0</v>
      </c>
      <c r="X74" s="7">
        <v>4</v>
      </c>
      <c r="Y74" s="7">
        <v>0</v>
      </c>
      <c r="Z74" s="7">
        <v>0</v>
      </c>
      <c r="AA74" s="7">
        <v>0</v>
      </c>
      <c r="AB74" s="7">
        <v>0</v>
      </c>
      <c r="AC74" s="7">
        <v>1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3">
        <v>0</v>
      </c>
      <c r="BT74" s="3">
        <v>0</v>
      </c>
    </row>
    <row r="75" spans="1:72" x14ac:dyDescent="0.2">
      <c r="A75" s="7" t="s">
        <v>9</v>
      </c>
      <c r="B75" s="7">
        <v>2</v>
      </c>
      <c r="C75" s="7" t="s">
        <v>49</v>
      </c>
      <c r="D75" s="7">
        <v>0.89</v>
      </c>
      <c r="E75" s="7">
        <f t="shared" si="2"/>
        <v>0.6</v>
      </c>
      <c r="F75" s="7">
        <v>0</v>
      </c>
      <c r="G75" s="7">
        <v>20</v>
      </c>
      <c r="H75" s="7">
        <f t="shared" si="3"/>
        <v>12</v>
      </c>
      <c r="I75" s="7" t="s">
        <v>113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6</v>
      </c>
      <c r="T75" s="7">
        <v>0</v>
      </c>
      <c r="U75" s="7">
        <v>0</v>
      </c>
      <c r="V75" s="7">
        <v>5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1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3">
        <v>0</v>
      </c>
      <c r="BT75" s="3">
        <v>0</v>
      </c>
    </row>
    <row r="76" spans="1:72" x14ac:dyDescent="0.2">
      <c r="A76" s="7" t="s">
        <v>9</v>
      </c>
      <c r="B76" s="7">
        <v>2</v>
      </c>
      <c r="C76" s="7" t="s">
        <v>49</v>
      </c>
      <c r="D76" s="9">
        <v>0.91</v>
      </c>
      <c r="E76" s="7">
        <f t="shared" si="2"/>
        <v>0.8</v>
      </c>
      <c r="F76" s="7">
        <v>0</v>
      </c>
      <c r="G76" s="7">
        <v>20</v>
      </c>
      <c r="H76" s="7">
        <f t="shared" si="3"/>
        <v>16</v>
      </c>
      <c r="I76" s="7" t="s">
        <v>105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11</v>
      </c>
      <c r="R76" s="7">
        <v>0</v>
      </c>
      <c r="S76" s="7">
        <v>5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3">
        <v>0</v>
      </c>
      <c r="BT76" s="3">
        <v>0</v>
      </c>
    </row>
    <row r="77" spans="1:72" x14ac:dyDescent="0.2">
      <c r="A77" s="7" t="s">
        <v>10</v>
      </c>
      <c r="B77" s="7">
        <v>2</v>
      </c>
      <c r="C77" s="7" t="s">
        <v>49</v>
      </c>
      <c r="D77" s="7">
        <v>0.84</v>
      </c>
      <c r="E77" s="7">
        <f t="shared" si="2"/>
        <v>0.8</v>
      </c>
      <c r="F77" s="7">
        <v>0</v>
      </c>
      <c r="G77" s="7">
        <v>20</v>
      </c>
      <c r="H77" s="7">
        <f t="shared" si="3"/>
        <v>16</v>
      </c>
      <c r="I77" s="7" t="s">
        <v>115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4</v>
      </c>
      <c r="R77" s="7">
        <v>0</v>
      </c>
      <c r="S77" s="7">
        <v>11</v>
      </c>
      <c r="T77" s="7">
        <v>0</v>
      </c>
      <c r="U77" s="7">
        <v>0</v>
      </c>
      <c r="V77" s="7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3">
        <v>0</v>
      </c>
      <c r="BT77" s="3">
        <v>0</v>
      </c>
    </row>
    <row r="78" spans="1:72" x14ac:dyDescent="0.2">
      <c r="A78" s="7" t="s">
        <v>10</v>
      </c>
      <c r="B78" s="7">
        <v>2</v>
      </c>
      <c r="C78" s="7" t="s">
        <v>49</v>
      </c>
      <c r="D78" s="7">
        <v>0.92</v>
      </c>
      <c r="E78" s="7">
        <f t="shared" si="2"/>
        <v>0.85</v>
      </c>
      <c r="F78" s="7">
        <v>0</v>
      </c>
      <c r="G78" s="7">
        <v>20</v>
      </c>
      <c r="H78" s="7">
        <f t="shared" si="3"/>
        <v>17</v>
      </c>
      <c r="I78" s="7" t="s">
        <v>116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16</v>
      </c>
      <c r="R78" s="7">
        <v>0</v>
      </c>
      <c r="S78" s="7">
        <v>1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3">
        <v>0</v>
      </c>
      <c r="BT78" s="3">
        <v>0</v>
      </c>
    </row>
    <row r="79" spans="1:72" x14ac:dyDescent="0.2">
      <c r="A79" s="7" t="s">
        <v>10</v>
      </c>
      <c r="B79" s="7">
        <v>2</v>
      </c>
      <c r="C79" s="7" t="s">
        <v>49</v>
      </c>
      <c r="D79" s="7">
        <v>0.67</v>
      </c>
      <c r="E79" s="7">
        <f t="shared" si="2"/>
        <v>0.5</v>
      </c>
      <c r="F79" s="7">
        <v>0</v>
      </c>
      <c r="G79" s="7">
        <v>20</v>
      </c>
      <c r="H79" s="7">
        <f t="shared" si="3"/>
        <v>10</v>
      </c>
      <c r="I79" s="7" t="s">
        <v>106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6</v>
      </c>
      <c r="T79" s="7">
        <v>0</v>
      </c>
      <c r="U79" s="7">
        <v>0</v>
      </c>
      <c r="V79" s="7">
        <v>4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3">
        <v>0</v>
      </c>
      <c r="BT79" s="3">
        <v>0</v>
      </c>
    </row>
    <row r="80" spans="1:72" x14ac:dyDescent="0.2">
      <c r="A80" s="7" t="s">
        <v>10</v>
      </c>
      <c r="B80" s="7">
        <v>2</v>
      </c>
      <c r="C80" s="7" t="s">
        <v>49</v>
      </c>
      <c r="D80" s="7">
        <v>0.74</v>
      </c>
      <c r="E80" s="7">
        <f t="shared" si="2"/>
        <v>0.95</v>
      </c>
      <c r="F80" s="7">
        <v>0</v>
      </c>
      <c r="G80" s="7">
        <v>20</v>
      </c>
      <c r="H80" s="7">
        <f t="shared" si="3"/>
        <v>19</v>
      </c>
      <c r="I80" s="7" t="s">
        <v>120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14</v>
      </c>
      <c r="T80" s="7">
        <v>0</v>
      </c>
      <c r="U80" s="7">
        <v>0</v>
      </c>
      <c r="V80" s="7">
        <v>5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3">
        <v>0</v>
      </c>
      <c r="BT80" s="3">
        <v>0</v>
      </c>
    </row>
    <row r="81" spans="1:72" x14ac:dyDescent="0.2">
      <c r="A81" s="7" t="s">
        <v>10</v>
      </c>
      <c r="B81" s="7">
        <v>2</v>
      </c>
      <c r="C81" s="7" t="s">
        <v>49</v>
      </c>
      <c r="D81" s="7">
        <v>0.87</v>
      </c>
      <c r="E81" s="7">
        <f t="shared" si="2"/>
        <v>0.65</v>
      </c>
      <c r="F81" s="7">
        <v>0</v>
      </c>
      <c r="G81" s="7">
        <v>20</v>
      </c>
      <c r="H81" s="7">
        <f t="shared" si="3"/>
        <v>13</v>
      </c>
      <c r="I81" s="7" t="s">
        <v>108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10</v>
      </c>
      <c r="T81" s="7">
        <v>0</v>
      </c>
      <c r="U81" s="7">
        <v>0</v>
      </c>
      <c r="V81" s="7">
        <v>3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3">
        <v>0</v>
      </c>
      <c r="BT81" s="3">
        <v>0</v>
      </c>
    </row>
    <row r="82" spans="1:72" x14ac:dyDescent="0.2">
      <c r="A82" s="7" t="s">
        <v>10</v>
      </c>
      <c r="B82" s="7">
        <v>2</v>
      </c>
      <c r="C82" s="7" t="s">
        <v>49</v>
      </c>
      <c r="D82" s="7">
        <v>0.74</v>
      </c>
      <c r="E82" s="7">
        <f t="shared" si="2"/>
        <v>0.8</v>
      </c>
      <c r="F82" s="7">
        <v>0</v>
      </c>
      <c r="G82" s="7">
        <v>20</v>
      </c>
      <c r="H82" s="7">
        <f t="shared" si="3"/>
        <v>16</v>
      </c>
      <c r="I82" s="7" t="s">
        <v>117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11</v>
      </c>
      <c r="T82" s="7">
        <v>0</v>
      </c>
      <c r="U82" s="7">
        <v>0</v>
      </c>
      <c r="V82" s="7">
        <v>3</v>
      </c>
      <c r="W82" s="7">
        <v>0</v>
      </c>
      <c r="X82" s="7">
        <v>1</v>
      </c>
      <c r="Y82" s="7">
        <v>0</v>
      </c>
      <c r="Z82" s="7">
        <v>0</v>
      </c>
      <c r="AA82" s="7">
        <v>0</v>
      </c>
      <c r="AB82" s="7">
        <v>0</v>
      </c>
      <c r="AC82" s="7">
        <v>1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3">
        <v>0</v>
      </c>
      <c r="BT82" s="3">
        <v>0</v>
      </c>
    </row>
    <row r="83" spans="1:72" x14ac:dyDescent="0.2">
      <c r="A83" s="7" t="s">
        <v>10</v>
      </c>
      <c r="B83" s="7">
        <v>2</v>
      </c>
      <c r="C83" s="7" t="s">
        <v>49</v>
      </c>
      <c r="D83" s="7">
        <v>0.93</v>
      </c>
      <c r="E83" s="7">
        <f t="shared" si="2"/>
        <v>0.65</v>
      </c>
      <c r="F83" s="7">
        <v>0</v>
      </c>
      <c r="G83" s="7">
        <v>20</v>
      </c>
      <c r="H83" s="7">
        <f t="shared" si="3"/>
        <v>13</v>
      </c>
      <c r="I83" s="7" t="s">
        <v>109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4</v>
      </c>
      <c r="T83" s="7">
        <v>0</v>
      </c>
      <c r="U83" s="7">
        <v>0</v>
      </c>
      <c r="V83" s="7">
        <v>8</v>
      </c>
      <c r="W83" s="7">
        <v>0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3">
        <v>0</v>
      </c>
      <c r="BT83" s="3">
        <v>0</v>
      </c>
    </row>
    <row r="84" spans="1:72" s="3" customFormat="1" x14ac:dyDescent="0.2">
      <c r="A84" s="7" t="s">
        <v>10</v>
      </c>
      <c r="B84" s="7">
        <v>2</v>
      </c>
      <c r="C84" s="7" t="s">
        <v>49</v>
      </c>
      <c r="D84" s="7">
        <v>0.95</v>
      </c>
      <c r="E84" s="7">
        <f t="shared" si="2"/>
        <v>0.7</v>
      </c>
      <c r="F84" s="7">
        <v>0</v>
      </c>
      <c r="G84" s="7">
        <v>20</v>
      </c>
      <c r="H84" s="7">
        <f t="shared" si="3"/>
        <v>14</v>
      </c>
      <c r="I84" s="7" t="s">
        <v>96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3</v>
      </c>
      <c r="R84" s="7">
        <v>0</v>
      </c>
      <c r="S84" s="7">
        <v>9</v>
      </c>
      <c r="T84" s="7">
        <v>0</v>
      </c>
      <c r="U84" s="7">
        <v>0</v>
      </c>
      <c r="V84" s="7">
        <v>2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3">
        <v>0</v>
      </c>
      <c r="BT84" s="3">
        <v>0</v>
      </c>
    </row>
    <row r="85" spans="1:72" x14ac:dyDescent="0.2">
      <c r="A85" s="7" t="s">
        <v>10</v>
      </c>
      <c r="B85" s="7">
        <v>2</v>
      </c>
      <c r="C85" s="7" t="s">
        <v>49</v>
      </c>
      <c r="D85" s="7">
        <v>0.93</v>
      </c>
      <c r="E85" s="7">
        <f t="shared" si="2"/>
        <v>0.8</v>
      </c>
      <c r="F85" s="7">
        <v>0</v>
      </c>
      <c r="G85" s="7">
        <v>20</v>
      </c>
      <c r="H85" s="7">
        <f t="shared" si="3"/>
        <v>16</v>
      </c>
      <c r="I85" s="7" t="s">
        <v>97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9</v>
      </c>
      <c r="T85" s="7">
        <v>0</v>
      </c>
      <c r="U85" s="7">
        <v>0</v>
      </c>
      <c r="V85" s="7">
        <v>6</v>
      </c>
      <c r="W85" s="7">
        <v>0</v>
      </c>
      <c r="X85" s="7">
        <v>0</v>
      </c>
      <c r="Y85" s="7">
        <v>0</v>
      </c>
      <c r="Z85" s="7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3">
        <v>0</v>
      </c>
      <c r="BT85" s="3">
        <v>0</v>
      </c>
    </row>
    <row r="86" spans="1:72" x14ac:dyDescent="0.2">
      <c r="A86" s="7" t="s">
        <v>10</v>
      </c>
      <c r="B86" s="7">
        <v>2</v>
      </c>
      <c r="C86" s="7" t="s">
        <v>49</v>
      </c>
      <c r="D86" s="7">
        <v>0.93</v>
      </c>
      <c r="E86" s="7">
        <f t="shared" si="2"/>
        <v>0.7</v>
      </c>
      <c r="F86" s="7">
        <v>0</v>
      </c>
      <c r="G86" s="7">
        <v>20</v>
      </c>
      <c r="H86" s="7">
        <f t="shared" si="3"/>
        <v>14</v>
      </c>
      <c r="I86" s="7" t="s">
        <v>98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1</v>
      </c>
      <c r="R86" s="7">
        <v>0</v>
      </c>
      <c r="S86" s="7">
        <v>1</v>
      </c>
      <c r="T86" s="7">
        <v>0</v>
      </c>
      <c r="U86" s="7">
        <v>0</v>
      </c>
      <c r="V86" s="7">
        <v>9</v>
      </c>
      <c r="W86" s="7">
        <v>0</v>
      </c>
      <c r="X86" s="7">
        <v>1</v>
      </c>
      <c r="Y86" s="7">
        <v>0</v>
      </c>
      <c r="Z86" s="7">
        <v>2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3">
        <v>0</v>
      </c>
      <c r="BT86" s="3">
        <v>0</v>
      </c>
    </row>
    <row r="87" spans="1:72" x14ac:dyDescent="0.2">
      <c r="A87" s="7" t="s">
        <v>10</v>
      </c>
      <c r="B87" s="7">
        <v>2</v>
      </c>
      <c r="C87" s="7" t="s">
        <v>49</v>
      </c>
      <c r="D87" s="7">
        <v>0.93</v>
      </c>
      <c r="E87" s="7">
        <f t="shared" si="2"/>
        <v>0.8</v>
      </c>
      <c r="F87" s="7">
        <v>0</v>
      </c>
      <c r="G87" s="7">
        <v>20</v>
      </c>
      <c r="H87" s="7">
        <f t="shared" si="3"/>
        <v>16</v>
      </c>
      <c r="I87" s="7" t="s">
        <v>100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1</v>
      </c>
      <c r="R87" s="7">
        <v>0</v>
      </c>
      <c r="S87" s="7">
        <v>10</v>
      </c>
      <c r="T87" s="7">
        <v>0</v>
      </c>
      <c r="U87" s="7">
        <v>0</v>
      </c>
      <c r="V87" s="7">
        <v>4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1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3">
        <v>0</v>
      </c>
      <c r="BT87" s="3">
        <v>0</v>
      </c>
    </row>
    <row r="88" spans="1:72" s="3" customFormat="1" x14ac:dyDescent="0.2">
      <c r="A88" s="7" t="s">
        <v>10</v>
      </c>
      <c r="B88" s="7">
        <v>2</v>
      </c>
      <c r="C88" s="7" t="s">
        <v>49</v>
      </c>
      <c r="D88" s="7">
        <v>0.83</v>
      </c>
      <c r="E88" s="7">
        <f t="shared" si="2"/>
        <v>1</v>
      </c>
      <c r="F88" s="7">
        <v>0</v>
      </c>
      <c r="G88" s="7">
        <v>20</v>
      </c>
      <c r="H88" s="7">
        <f t="shared" si="3"/>
        <v>20</v>
      </c>
      <c r="I88" s="7" t="s">
        <v>111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4</v>
      </c>
      <c r="T88" s="7">
        <v>0</v>
      </c>
      <c r="U88" s="7">
        <v>0</v>
      </c>
      <c r="V88" s="7">
        <v>9</v>
      </c>
      <c r="W88" s="7">
        <v>0</v>
      </c>
      <c r="X88" s="7">
        <v>0</v>
      </c>
      <c r="Y88" s="7">
        <v>0</v>
      </c>
      <c r="Z88" s="7">
        <v>4</v>
      </c>
      <c r="AA88" s="7">
        <v>0</v>
      </c>
      <c r="AB88" s="7">
        <v>0</v>
      </c>
      <c r="AC88" s="7">
        <v>1</v>
      </c>
      <c r="AD88" s="7">
        <v>0</v>
      </c>
      <c r="AE88" s="7">
        <v>0</v>
      </c>
      <c r="AF88" s="7">
        <v>0</v>
      </c>
      <c r="AG88" s="7">
        <v>1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1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3">
        <v>0</v>
      </c>
      <c r="BT88" s="3">
        <v>0</v>
      </c>
    </row>
    <row r="89" spans="1:72" x14ac:dyDescent="0.2">
      <c r="A89" s="7" t="s">
        <v>10</v>
      </c>
      <c r="B89" s="7">
        <v>2</v>
      </c>
      <c r="C89" s="7" t="s">
        <v>49</v>
      </c>
      <c r="D89" s="7">
        <v>0.52</v>
      </c>
      <c r="E89" s="7">
        <f t="shared" si="2"/>
        <v>0.95</v>
      </c>
      <c r="F89" s="7">
        <v>1</v>
      </c>
      <c r="G89" s="7">
        <v>20</v>
      </c>
      <c r="H89" s="7">
        <f t="shared" si="3"/>
        <v>18</v>
      </c>
      <c r="I89" s="7" t="s">
        <v>112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2</v>
      </c>
      <c r="T89" s="7">
        <v>0</v>
      </c>
      <c r="U89" s="7">
        <v>0</v>
      </c>
      <c r="V89" s="7">
        <v>9</v>
      </c>
      <c r="W89" s="7">
        <v>0</v>
      </c>
      <c r="X89" s="7">
        <v>4</v>
      </c>
      <c r="Y89" s="7">
        <v>0</v>
      </c>
      <c r="Z89" s="7">
        <v>3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3">
        <v>0</v>
      </c>
      <c r="BT89" s="3">
        <v>0</v>
      </c>
    </row>
    <row r="90" spans="1:72" x14ac:dyDescent="0.2">
      <c r="A90" s="7" t="s">
        <v>10</v>
      </c>
      <c r="B90" s="7">
        <v>2</v>
      </c>
      <c r="C90" s="7" t="s">
        <v>49</v>
      </c>
      <c r="D90" s="7">
        <v>0.8</v>
      </c>
      <c r="E90" s="7">
        <f t="shared" si="2"/>
        <v>0.95</v>
      </c>
      <c r="F90" s="7">
        <v>0</v>
      </c>
      <c r="G90" s="7">
        <v>20</v>
      </c>
      <c r="H90" s="7">
        <f t="shared" si="3"/>
        <v>19</v>
      </c>
      <c r="I90" s="7" t="s">
        <v>102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8</v>
      </c>
      <c r="T90" s="7">
        <v>0</v>
      </c>
      <c r="U90" s="7">
        <v>0</v>
      </c>
      <c r="V90" s="7">
        <v>8</v>
      </c>
      <c r="W90" s="7">
        <v>0</v>
      </c>
      <c r="X90" s="7">
        <v>2</v>
      </c>
      <c r="Y90" s="7">
        <v>0</v>
      </c>
      <c r="Z90" s="7">
        <v>1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3">
        <v>0</v>
      </c>
      <c r="BT90" s="3">
        <v>0</v>
      </c>
    </row>
    <row r="91" spans="1:72" x14ac:dyDescent="0.2">
      <c r="A91" s="7" t="s">
        <v>10</v>
      </c>
      <c r="B91" s="7">
        <v>2</v>
      </c>
      <c r="C91" s="7" t="s">
        <v>49</v>
      </c>
      <c r="D91" s="7">
        <v>0.91</v>
      </c>
      <c r="E91" s="7">
        <f t="shared" si="2"/>
        <v>0.85</v>
      </c>
      <c r="F91" s="7">
        <v>0</v>
      </c>
      <c r="G91" s="7">
        <v>20</v>
      </c>
      <c r="H91" s="7">
        <f t="shared" si="3"/>
        <v>17</v>
      </c>
      <c r="I91" s="7" t="s">
        <v>105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3</v>
      </c>
      <c r="T91" s="7">
        <v>0</v>
      </c>
      <c r="U91" s="7">
        <v>0</v>
      </c>
      <c r="V91" s="7">
        <v>13</v>
      </c>
      <c r="W91" s="7">
        <v>0</v>
      </c>
      <c r="X91" s="7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3">
        <v>0</v>
      </c>
      <c r="BT91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910730-2FC0-4E8B-99DF-2B7974C9ED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Littoralis_S2</vt:lpstr>
      <vt:lpstr>Torulosa_lowfire_S2</vt:lpstr>
      <vt:lpstr>Torulosa_highfire_S2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2024-07-03T06:24:44Z</dcterms:created>
  <dcterms:modified xsi:type="dcterms:W3CDTF">2024-10-03T08:14:02Z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2024-08-13T21:51:51Z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84b9f2ab-d7b7-42d9-8971-590cb5e0338c</vt:lpwstr>
  </property>
  <property fmtid="{D5CDD505-2E9C-101B-9397-08002B2CF9AE}" pid="8" name="MSIP_Label_0f488380-630a-4f55-a077-a19445e3f360_ContentBits">
    <vt:lpwstr>0</vt:lpwstr>
  </property>
</Properties>
</file>