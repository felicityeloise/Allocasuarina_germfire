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https://uq-my.sharepoint.com/personal/uqfchar1_uq_edu_au/Documents/Desktop/GitHub/Allocas_germ/"/>
    </mc:Choice>
  </mc:AlternateContent>
  <xr:revisionPtr revIDLastSave="205" documentId="8_{7A9B329B-35ED-3242-9754-4D2EFB164FA5}" xr6:coauthVersionLast="47" xr6:coauthVersionMax="47" xr10:uidLastSave="{1CA26D33-1830-1F4B-827B-9366FF88FDDB}"/>
  <bookViews>
    <workbookView xWindow="0" yWindow="500" windowWidth="28800" windowHeight="15720" activeTab="1" xr2:uid="{D787752A-2EF4-4C1F-98F1-137D096492FA}"/>
  </bookViews>
  <sheets>
    <sheet name="Littoralis_S1" sheetId="1" r:id="rId1"/>
    <sheet name="Torulosa_lowfire_S1" sheetId="2" r:id="rId2"/>
    <sheet name="Torulosa_highfire_S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E4" i="3" s="1"/>
  <c r="H5" i="3"/>
  <c r="E5" i="3" s="1"/>
  <c r="H6" i="3"/>
  <c r="E6" i="3" s="1"/>
  <c r="H7" i="3"/>
  <c r="E7" i="3" s="1"/>
  <c r="H8" i="3"/>
  <c r="E8" i="3" s="1"/>
  <c r="H9" i="3"/>
  <c r="E9" i="3" s="1"/>
  <c r="H10" i="3"/>
  <c r="E10" i="3" s="1"/>
  <c r="H11" i="3"/>
  <c r="E11" i="3" s="1"/>
  <c r="H12" i="3"/>
  <c r="E12" i="3" s="1"/>
  <c r="H13" i="3"/>
  <c r="E13" i="3" s="1"/>
  <c r="H14" i="3"/>
  <c r="E14" i="3" s="1"/>
  <c r="H15" i="3"/>
  <c r="E15" i="3" s="1"/>
  <c r="H16" i="3"/>
  <c r="E16" i="3" s="1"/>
  <c r="H17" i="3"/>
  <c r="E17" i="3" s="1"/>
  <c r="H18" i="3"/>
  <c r="E18" i="3" s="1"/>
  <c r="H19" i="3"/>
  <c r="E19" i="3" s="1"/>
  <c r="H20" i="3"/>
  <c r="E20" i="3" s="1"/>
  <c r="H21" i="3"/>
  <c r="E21" i="3" s="1"/>
  <c r="H22" i="3"/>
  <c r="E22" i="3" s="1"/>
  <c r="H23" i="3"/>
  <c r="E23" i="3" s="1"/>
  <c r="H24" i="3"/>
  <c r="E24" i="3" s="1"/>
  <c r="H25" i="3"/>
  <c r="E25" i="3" s="1"/>
  <c r="H26" i="3"/>
  <c r="E26" i="3" s="1"/>
  <c r="H27" i="3"/>
  <c r="E27" i="3" s="1"/>
  <c r="H28" i="3"/>
  <c r="E28" i="3" s="1"/>
  <c r="H29" i="3"/>
  <c r="E29" i="3" s="1"/>
  <c r="H30" i="3"/>
  <c r="E30" i="3" s="1"/>
  <c r="H31" i="3"/>
  <c r="E31" i="3" s="1"/>
  <c r="H32" i="3"/>
  <c r="E32" i="3" s="1"/>
  <c r="H33" i="3"/>
  <c r="E33" i="3" s="1"/>
  <c r="H34" i="3"/>
  <c r="E34" i="3" s="1"/>
  <c r="H35" i="3"/>
  <c r="E35" i="3" s="1"/>
  <c r="H36" i="3"/>
  <c r="E36" i="3" s="1"/>
  <c r="H37" i="3"/>
  <c r="E37" i="3" s="1"/>
  <c r="H38" i="3"/>
  <c r="E38" i="3" s="1"/>
  <c r="H39" i="3"/>
  <c r="E39" i="3" s="1"/>
  <c r="H40" i="3"/>
  <c r="E40" i="3" s="1"/>
  <c r="H41" i="3"/>
  <c r="E41" i="3" s="1"/>
  <c r="H42" i="3"/>
  <c r="E42" i="3" s="1"/>
  <c r="H43" i="3"/>
  <c r="E43" i="3" s="1"/>
  <c r="H44" i="3"/>
  <c r="E44" i="3" s="1"/>
  <c r="H45" i="3"/>
  <c r="E45" i="3" s="1"/>
  <c r="H46" i="3"/>
  <c r="E46" i="3" s="1"/>
  <c r="H47" i="3"/>
  <c r="E47" i="3" s="1"/>
  <c r="H48" i="3"/>
  <c r="E48" i="3" s="1"/>
  <c r="H49" i="3"/>
  <c r="E49" i="3" s="1"/>
  <c r="H50" i="3"/>
  <c r="E50" i="3" s="1"/>
  <c r="H51" i="3"/>
  <c r="E51" i="3" s="1"/>
  <c r="H52" i="3"/>
  <c r="E52" i="3" s="1"/>
  <c r="H53" i="3"/>
  <c r="E53" i="3" s="1"/>
  <c r="H54" i="3"/>
  <c r="E54" i="3" s="1"/>
  <c r="H55" i="3"/>
  <c r="E55" i="3" s="1"/>
  <c r="H56" i="3"/>
  <c r="E56" i="3" s="1"/>
  <c r="H57" i="3"/>
  <c r="E57" i="3" s="1"/>
  <c r="H58" i="3"/>
  <c r="E58" i="3" s="1"/>
  <c r="H59" i="3"/>
  <c r="E59" i="3" s="1"/>
  <c r="H60" i="3"/>
  <c r="E60" i="3" s="1"/>
  <c r="H61" i="3"/>
  <c r="E61" i="3" s="1"/>
  <c r="H62" i="3"/>
  <c r="E62" i="3" s="1"/>
  <c r="H63" i="3"/>
  <c r="E63" i="3" s="1"/>
  <c r="H64" i="3"/>
  <c r="E64" i="3" s="1"/>
  <c r="H65" i="3"/>
  <c r="E65" i="3" s="1"/>
  <c r="H66" i="3"/>
  <c r="E66" i="3" s="1"/>
  <c r="H67" i="3"/>
  <c r="E67" i="3" s="1"/>
  <c r="H68" i="3"/>
  <c r="E68" i="3" s="1"/>
  <c r="H69" i="3"/>
  <c r="E69" i="3" s="1"/>
  <c r="H70" i="3"/>
  <c r="E70" i="3" s="1"/>
  <c r="H71" i="3"/>
  <c r="E71" i="3" s="1"/>
  <c r="H72" i="3"/>
  <c r="E72" i="3" s="1"/>
  <c r="H73" i="3"/>
  <c r="E73" i="3" s="1"/>
  <c r="H74" i="3"/>
  <c r="E74" i="3" s="1"/>
  <c r="H75" i="3"/>
  <c r="E75" i="3" s="1"/>
  <c r="H76" i="3"/>
  <c r="E76" i="3" s="1"/>
  <c r="H77" i="3"/>
  <c r="E77" i="3" s="1"/>
  <c r="H78" i="3"/>
  <c r="E78" i="3" s="1"/>
  <c r="H79" i="3"/>
  <c r="E79" i="3" s="1"/>
  <c r="H80" i="3"/>
  <c r="E80" i="3" s="1"/>
  <c r="H81" i="3"/>
  <c r="E81" i="3" s="1"/>
  <c r="H82" i="3"/>
  <c r="E82" i="3" s="1"/>
  <c r="H83" i="3"/>
  <c r="E83" i="3" s="1"/>
  <c r="H84" i="3"/>
  <c r="E84" i="3" s="1"/>
  <c r="H85" i="3"/>
  <c r="E85" i="3" s="1"/>
  <c r="H86" i="3"/>
  <c r="E86" i="3" s="1"/>
  <c r="H87" i="3"/>
  <c r="E87" i="3" s="1"/>
  <c r="H88" i="3"/>
  <c r="E88" i="3" s="1"/>
  <c r="H89" i="3"/>
  <c r="E89" i="3" s="1"/>
  <c r="H90" i="3"/>
  <c r="E90" i="3" s="1"/>
  <c r="H91" i="3"/>
  <c r="E91" i="3" s="1"/>
  <c r="H3" i="3"/>
  <c r="E3" i="3" s="1"/>
  <c r="H2" i="3"/>
  <c r="E2" i="3" s="1"/>
  <c r="I4" i="2"/>
  <c r="F4" i="2" s="1"/>
  <c r="I5" i="2"/>
  <c r="F5" i="2" s="1"/>
  <c r="I6" i="2"/>
  <c r="F6" i="2" s="1"/>
  <c r="I7" i="2"/>
  <c r="F7" i="2" s="1"/>
  <c r="I8" i="2"/>
  <c r="F8" i="2" s="1"/>
  <c r="I9" i="2"/>
  <c r="F9" i="2" s="1"/>
  <c r="I10" i="2"/>
  <c r="F10" i="2" s="1"/>
  <c r="I11" i="2"/>
  <c r="F11" i="2" s="1"/>
  <c r="I12" i="2"/>
  <c r="F12" i="2" s="1"/>
  <c r="I13" i="2"/>
  <c r="F13" i="2" s="1"/>
  <c r="I14" i="2"/>
  <c r="F14" i="2" s="1"/>
  <c r="I15" i="2"/>
  <c r="F15" i="2" s="1"/>
  <c r="I16" i="2"/>
  <c r="F16" i="2" s="1"/>
  <c r="I17" i="2"/>
  <c r="F17" i="2" s="1"/>
  <c r="I18" i="2"/>
  <c r="F18" i="2" s="1"/>
  <c r="I19" i="2"/>
  <c r="F19" i="2" s="1"/>
  <c r="I20" i="2"/>
  <c r="F20" i="2" s="1"/>
  <c r="I21" i="2"/>
  <c r="F21" i="2" s="1"/>
  <c r="I22" i="2"/>
  <c r="F22" i="2" s="1"/>
  <c r="I23" i="2"/>
  <c r="F23" i="2" s="1"/>
  <c r="I24" i="2"/>
  <c r="F24" i="2" s="1"/>
  <c r="I25" i="2"/>
  <c r="F25" i="2" s="1"/>
  <c r="I26" i="2"/>
  <c r="F26" i="2" s="1"/>
  <c r="I27" i="2"/>
  <c r="F27" i="2" s="1"/>
  <c r="I28" i="2"/>
  <c r="F28" i="2" s="1"/>
  <c r="I29" i="2"/>
  <c r="F29" i="2" s="1"/>
  <c r="I30" i="2"/>
  <c r="F30" i="2" s="1"/>
  <c r="I31" i="2"/>
  <c r="F31" i="2" s="1"/>
  <c r="I32" i="2"/>
  <c r="F32" i="2" s="1"/>
  <c r="I33" i="2"/>
  <c r="F33" i="2" s="1"/>
  <c r="I34" i="2"/>
  <c r="F34" i="2" s="1"/>
  <c r="I35" i="2"/>
  <c r="F35" i="2" s="1"/>
  <c r="I36" i="2"/>
  <c r="F36" i="2" s="1"/>
  <c r="I37" i="2"/>
  <c r="F37" i="2" s="1"/>
  <c r="I38" i="2"/>
  <c r="F38" i="2" s="1"/>
  <c r="I39" i="2"/>
  <c r="F39" i="2" s="1"/>
  <c r="I40" i="2"/>
  <c r="F40" i="2" s="1"/>
  <c r="I41" i="2"/>
  <c r="F41" i="2" s="1"/>
  <c r="I42" i="2"/>
  <c r="F42" i="2" s="1"/>
  <c r="I43" i="2"/>
  <c r="F43" i="2" s="1"/>
  <c r="I44" i="2"/>
  <c r="F44" i="2" s="1"/>
  <c r="I45" i="2"/>
  <c r="F45" i="2" s="1"/>
  <c r="I46" i="2"/>
  <c r="F46" i="2" s="1"/>
  <c r="I47" i="2"/>
  <c r="F47" i="2" s="1"/>
  <c r="I48" i="2"/>
  <c r="F48" i="2" s="1"/>
  <c r="I49" i="2"/>
  <c r="F49" i="2" s="1"/>
  <c r="I50" i="2"/>
  <c r="F50" i="2" s="1"/>
  <c r="I51" i="2"/>
  <c r="F51" i="2" s="1"/>
  <c r="I52" i="2"/>
  <c r="F52" i="2" s="1"/>
  <c r="I53" i="2"/>
  <c r="F53" i="2" s="1"/>
  <c r="I54" i="2"/>
  <c r="F54" i="2" s="1"/>
  <c r="I55" i="2"/>
  <c r="F55" i="2" s="1"/>
  <c r="I56" i="2"/>
  <c r="F56" i="2" s="1"/>
  <c r="I57" i="2"/>
  <c r="F57" i="2" s="1"/>
  <c r="I58" i="2"/>
  <c r="F58" i="2" s="1"/>
  <c r="I59" i="2"/>
  <c r="F59" i="2" s="1"/>
  <c r="I60" i="2"/>
  <c r="F60" i="2" s="1"/>
  <c r="I61" i="2"/>
  <c r="F61" i="2" s="1"/>
  <c r="I62" i="2"/>
  <c r="F62" i="2" s="1"/>
  <c r="I63" i="2"/>
  <c r="F63" i="2" s="1"/>
  <c r="I64" i="2"/>
  <c r="F64" i="2" s="1"/>
  <c r="I65" i="2"/>
  <c r="F65" i="2" s="1"/>
  <c r="I66" i="2"/>
  <c r="F66" i="2" s="1"/>
  <c r="I67" i="2"/>
  <c r="F67" i="2" s="1"/>
  <c r="I68" i="2"/>
  <c r="F68" i="2" s="1"/>
  <c r="I69" i="2"/>
  <c r="F69" i="2" s="1"/>
  <c r="I70" i="2"/>
  <c r="F70" i="2" s="1"/>
  <c r="I71" i="2"/>
  <c r="F71" i="2" s="1"/>
  <c r="I72" i="2"/>
  <c r="F72" i="2" s="1"/>
  <c r="I73" i="2"/>
  <c r="F73" i="2" s="1"/>
  <c r="I74" i="2"/>
  <c r="F74" i="2" s="1"/>
  <c r="I75" i="2"/>
  <c r="F75" i="2" s="1"/>
  <c r="I76" i="2"/>
  <c r="F76" i="2" s="1"/>
  <c r="I77" i="2"/>
  <c r="F77" i="2" s="1"/>
  <c r="I78" i="2"/>
  <c r="F78" i="2" s="1"/>
  <c r="I79" i="2"/>
  <c r="F79" i="2" s="1"/>
  <c r="I80" i="2"/>
  <c r="F80" i="2" s="1"/>
  <c r="I81" i="2"/>
  <c r="F81" i="2" s="1"/>
  <c r="I82" i="2"/>
  <c r="F82" i="2" s="1"/>
  <c r="I83" i="2"/>
  <c r="F83" i="2" s="1"/>
  <c r="I84" i="2"/>
  <c r="F84" i="2" s="1"/>
  <c r="I85" i="2"/>
  <c r="F85" i="2" s="1"/>
  <c r="I86" i="2"/>
  <c r="F86" i="2" s="1"/>
  <c r="I87" i="2"/>
  <c r="F87" i="2" s="1"/>
  <c r="I88" i="2"/>
  <c r="F88" i="2" s="1"/>
  <c r="I89" i="2"/>
  <c r="F89" i="2" s="1"/>
  <c r="I90" i="2"/>
  <c r="F90" i="2" s="1"/>
  <c r="I91" i="2"/>
  <c r="F91" i="2" s="1"/>
  <c r="I3" i="2"/>
  <c r="F3" i="2" s="1"/>
  <c r="I2" i="2"/>
  <c r="F2" i="2" s="1"/>
  <c r="I4" i="1"/>
  <c r="F4" i="1" s="1"/>
  <c r="I5" i="1"/>
  <c r="F5" i="1" s="1"/>
  <c r="I6" i="1"/>
  <c r="F6" i="1" s="1"/>
  <c r="I7" i="1"/>
  <c r="I8" i="1"/>
  <c r="F8" i="1" s="1"/>
  <c r="I9" i="1"/>
  <c r="F9" i="1" s="1"/>
  <c r="I10" i="1"/>
  <c r="F10" i="1" s="1"/>
  <c r="I11" i="1"/>
  <c r="I12" i="1"/>
  <c r="F12" i="1" s="1"/>
  <c r="I13" i="1"/>
  <c r="F13" i="1" s="1"/>
  <c r="I14" i="1"/>
  <c r="F14" i="1" s="1"/>
  <c r="I15" i="1"/>
  <c r="I16" i="1"/>
  <c r="F16" i="1" s="1"/>
  <c r="I17" i="1"/>
  <c r="F17" i="1" s="1"/>
  <c r="I18" i="1"/>
  <c r="I19" i="1"/>
  <c r="I20" i="1"/>
  <c r="F20" i="1" s="1"/>
  <c r="I21" i="1"/>
  <c r="F21" i="1" s="1"/>
  <c r="I22" i="1"/>
  <c r="F22" i="1" s="1"/>
  <c r="I23" i="1"/>
  <c r="I24" i="1"/>
  <c r="F24" i="1" s="1"/>
  <c r="I25" i="1"/>
  <c r="F25" i="1" s="1"/>
  <c r="I26" i="1"/>
  <c r="F26" i="1" s="1"/>
  <c r="I27" i="1"/>
  <c r="I28" i="1"/>
  <c r="F28" i="1" s="1"/>
  <c r="I29" i="1"/>
  <c r="F29" i="1" s="1"/>
  <c r="I30" i="1"/>
  <c r="F30" i="1" s="1"/>
  <c r="I31" i="1"/>
  <c r="I32" i="1"/>
  <c r="F32" i="1" s="1"/>
  <c r="I33" i="1"/>
  <c r="F33" i="1" s="1"/>
  <c r="I34" i="1"/>
  <c r="I35" i="1"/>
  <c r="I36" i="1"/>
  <c r="F36" i="1" s="1"/>
  <c r="I37" i="1"/>
  <c r="F37" i="1" s="1"/>
  <c r="I38" i="1"/>
  <c r="F38" i="1" s="1"/>
  <c r="I39" i="1"/>
  <c r="I40" i="1"/>
  <c r="F40" i="1" s="1"/>
  <c r="I41" i="1"/>
  <c r="F41" i="1" s="1"/>
  <c r="I42" i="1"/>
  <c r="F42" i="1" s="1"/>
  <c r="I43" i="1"/>
  <c r="I44" i="1"/>
  <c r="F44" i="1" s="1"/>
  <c r="I45" i="1"/>
  <c r="F45" i="1" s="1"/>
  <c r="I46" i="1"/>
  <c r="F46" i="1" s="1"/>
  <c r="I47" i="1"/>
  <c r="I48" i="1"/>
  <c r="F48" i="1" s="1"/>
  <c r="I49" i="1"/>
  <c r="F49" i="1" s="1"/>
  <c r="I50" i="1"/>
  <c r="I51" i="1"/>
  <c r="I52" i="1"/>
  <c r="F52" i="1" s="1"/>
  <c r="I53" i="1"/>
  <c r="F53" i="1" s="1"/>
  <c r="I54" i="1"/>
  <c r="F54" i="1" s="1"/>
  <c r="I55" i="1"/>
  <c r="I56" i="1"/>
  <c r="F56" i="1" s="1"/>
  <c r="I57" i="1"/>
  <c r="F57" i="1" s="1"/>
  <c r="I58" i="1"/>
  <c r="F58" i="1" s="1"/>
  <c r="I59" i="1"/>
  <c r="I60" i="1"/>
  <c r="F60" i="1" s="1"/>
  <c r="I61" i="1"/>
  <c r="F61" i="1" s="1"/>
  <c r="I62" i="1"/>
  <c r="F62" i="1" s="1"/>
  <c r="I63" i="1"/>
  <c r="I64" i="1"/>
  <c r="F64" i="1" s="1"/>
  <c r="I65" i="1"/>
  <c r="F65" i="1" s="1"/>
  <c r="I66" i="1"/>
  <c r="I67" i="1"/>
  <c r="I68" i="1"/>
  <c r="F68" i="1" s="1"/>
  <c r="I69" i="1"/>
  <c r="F69" i="1" s="1"/>
  <c r="I70" i="1"/>
  <c r="F70" i="1" s="1"/>
  <c r="I71" i="1"/>
  <c r="I72" i="1"/>
  <c r="F72" i="1" s="1"/>
  <c r="I73" i="1"/>
  <c r="F73" i="1" s="1"/>
  <c r="I74" i="1"/>
  <c r="F74" i="1" s="1"/>
  <c r="I75" i="1"/>
  <c r="I76" i="1"/>
  <c r="F76" i="1" s="1"/>
  <c r="I77" i="1"/>
  <c r="F77" i="1" s="1"/>
  <c r="I78" i="1"/>
  <c r="F78" i="1" s="1"/>
  <c r="I79" i="1"/>
  <c r="I80" i="1"/>
  <c r="I81" i="1"/>
  <c r="F81" i="1" s="1"/>
  <c r="I82" i="1"/>
  <c r="F82" i="1" s="1"/>
  <c r="I83" i="1"/>
  <c r="I84" i="1"/>
  <c r="I85" i="1"/>
  <c r="F85" i="1" s="1"/>
  <c r="I86" i="1"/>
  <c r="F86" i="1" s="1"/>
  <c r="I87" i="1"/>
  <c r="I88" i="1"/>
  <c r="I89" i="1"/>
  <c r="F89" i="1" s="1"/>
  <c r="I90" i="1"/>
  <c r="F90" i="1" s="1"/>
  <c r="I91" i="1"/>
  <c r="I3" i="1"/>
  <c r="F3" i="1" s="1"/>
  <c r="I2" i="1"/>
  <c r="F75" i="1" l="1"/>
  <c r="F71" i="1"/>
  <c r="F67" i="1"/>
  <c r="F63" i="1"/>
  <c r="F59" i="1"/>
  <c r="F55" i="1"/>
  <c r="F51" i="1"/>
  <c r="F47" i="1"/>
  <c r="F43" i="1"/>
  <c r="F39" i="1"/>
  <c r="F35" i="1"/>
  <c r="F31" i="1"/>
  <c r="F27" i="1"/>
  <c r="F23" i="1"/>
  <c r="F19" i="1"/>
  <c r="F15" i="1"/>
  <c r="F11" i="1"/>
  <c r="F7" i="1"/>
  <c r="F88" i="1"/>
  <c r="F84" i="1"/>
  <c r="F80" i="1"/>
  <c r="F66" i="1"/>
  <c r="F50" i="1"/>
  <c r="F34" i="1"/>
  <c r="F18" i="1"/>
  <c r="F91" i="1"/>
  <c r="F87" i="1"/>
  <c r="F83" i="1"/>
  <c r="F2" i="1"/>
  <c r="F79" i="1"/>
</calcChain>
</file>

<file path=xl/sharedStrings.xml><?xml version="1.0" encoding="utf-8"?>
<sst xmlns="http://schemas.openxmlformats.org/spreadsheetml/2006/main" count="987" uniqueCount="177">
  <si>
    <t>Species</t>
  </si>
  <si>
    <t>Treatment</t>
  </si>
  <si>
    <t>littoralis</t>
  </si>
  <si>
    <t>Control</t>
  </si>
  <si>
    <t>Set</t>
  </si>
  <si>
    <t>80°C</t>
  </si>
  <si>
    <t>95°C</t>
  </si>
  <si>
    <t>Smoke</t>
  </si>
  <si>
    <t>80°C+smoke</t>
  </si>
  <si>
    <t>95°C+smoke</t>
  </si>
  <si>
    <t>WPS91</t>
  </si>
  <si>
    <t>WPS135</t>
  </si>
  <si>
    <t>WPS142</t>
  </si>
  <si>
    <t>WPS87</t>
  </si>
  <si>
    <t>WPS93</t>
  </si>
  <si>
    <t>WPS94</t>
  </si>
  <si>
    <t>WPS96</t>
  </si>
  <si>
    <t>WPS108</t>
  </si>
  <si>
    <t>WPS109</t>
  </si>
  <si>
    <t>WPS139</t>
  </si>
  <si>
    <t>WPS144</t>
  </si>
  <si>
    <t>WPS154</t>
  </si>
  <si>
    <t>WPS152</t>
  </si>
  <si>
    <t>WPS127</t>
  </si>
  <si>
    <t>WPS128</t>
  </si>
  <si>
    <t>WPS89</t>
  </si>
  <si>
    <t>WPS90</t>
  </si>
  <si>
    <t>WPS92</t>
  </si>
  <si>
    <t>WPS107</t>
  </si>
  <si>
    <t>WPS111</t>
  </si>
  <si>
    <t>WPS137</t>
  </si>
  <si>
    <t>WPS140</t>
  </si>
  <si>
    <t>WPS141</t>
  </si>
  <si>
    <t>WPS156</t>
  </si>
  <si>
    <t>WPS169</t>
  </si>
  <si>
    <t>WPS88</t>
  </si>
  <si>
    <t>WPS95</t>
  </si>
  <si>
    <t>WPS110</t>
  </si>
  <si>
    <t>WPS129</t>
  </si>
  <si>
    <t>WPS136</t>
  </si>
  <si>
    <t>WPS143</t>
  </si>
  <si>
    <t>WPS145</t>
  </si>
  <si>
    <t>WPS153</t>
  </si>
  <si>
    <t>WPS171</t>
  </si>
  <si>
    <t>WPS157</t>
  </si>
  <si>
    <t>WPS3</t>
  </si>
  <si>
    <t>WPS151</t>
  </si>
  <si>
    <t>torulosa_lowfire</t>
  </si>
  <si>
    <t>torulosa_highfire</t>
  </si>
  <si>
    <t>WPS57</t>
  </si>
  <si>
    <t>WPS62</t>
  </si>
  <si>
    <t>WPS63</t>
  </si>
  <si>
    <t>WPS64</t>
  </si>
  <si>
    <t>WPS65</t>
  </si>
  <si>
    <t>WPS84</t>
  </si>
  <si>
    <t>WPS122</t>
  </si>
  <si>
    <t>WPS130</t>
  </si>
  <si>
    <t>WPS150</t>
  </si>
  <si>
    <t>WPS170</t>
  </si>
  <si>
    <t>WPS172</t>
  </si>
  <si>
    <t>WPS174</t>
  </si>
  <si>
    <t>WPS196</t>
  </si>
  <si>
    <t>WPS197</t>
  </si>
  <si>
    <t>WPS201</t>
  </si>
  <si>
    <t>WPS60</t>
  </si>
  <si>
    <t>WPS78</t>
  </si>
  <si>
    <t>WPS83</t>
  </si>
  <si>
    <t>WPS113</t>
  </si>
  <si>
    <t>WPS146</t>
  </si>
  <si>
    <t>WPS147</t>
  </si>
  <si>
    <t>WPS187</t>
  </si>
  <si>
    <t>WPS195</t>
  </si>
  <si>
    <t>WPS58</t>
  </si>
  <si>
    <t>WPS75</t>
  </si>
  <si>
    <t>WPS82</t>
  </si>
  <si>
    <t>WPS123</t>
  </si>
  <si>
    <t>WPS138</t>
  </si>
  <si>
    <t>WPS149</t>
  </si>
  <si>
    <t>WPS168</t>
  </si>
  <si>
    <t>WPS175</t>
  </si>
  <si>
    <t>WPS192</t>
  </si>
  <si>
    <t>WPS59</t>
  </si>
  <si>
    <t>WPS61</t>
  </si>
  <si>
    <t>WPS73</t>
  </si>
  <si>
    <t>WPS77</t>
  </si>
  <si>
    <t>WPS112</t>
  </si>
  <si>
    <t>WPS148</t>
  </si>
  <si>
    <t>WPS202</t>
  </si>
  <si>
    <t>WPS71</t>
  </si>
  <si>
    <t>WPS114</t>
  </si>
  <si>
    <t>WPS47</t>
  </si>
  <si>
    <t>WPS97</t>
  </si>
  <si>
    <t>WPS102</t>
  </si>
  <si>
    <t>WPS103</t>
  </si>
  <si>
    <t>WPS106</t>
  </si>
  <si>
    <t>WPS125</t>
  </si>
  <si>
    <t>WPS126</t>
  </si>
  <si>
    <t>WPS132</t>
  </si>
  <si>
    <t>WPS133</t>
  </si>
  <si>
    <t>WPS134</t>
  </si>
  <si>
    <t>WPS158</t>
  </si>
  <si>
    <t>WPS177</t>
  </si>
  <si>
    <t>WPS178</t>
  </si>
  <si>
    <t>WPS179</t>
  </si>
  <si>
    <t>WPS181</t>
  </si>
  <si>
    <t>WPS48</t>
  </si>
  <si>
    <t>WPS50</t>
  </si>
  <si>
    <t>WPS55</t>
  </si>
  <si>
    <t>WPS124</t>
  </si>
  <si>
    <t>WPS159</t>
  </si>
  <si>
    <t>WPS161</t>
  </si>
  <si>
    <t>WPS162</t>
  </si>
  <si>
    <t>WPS180</t>
  </si>
  <si>
    <t>WPS160</t>
  </si>
  <si>
    <t>WPS28</t>
  </si>
  <si>
    <t>WPS31</t>
  </si>
  <si>
    <t>WPS56</t>
  </si>
  <si>
    <t>WPS98</t>
  </si>
  <si>
    <t>WPS131</t>
  </si>
  <si>
    <t>WPS54</t>
  </si>
  <si>
    <t>Total_germination</t>
  </si>
  <si>
    <t>TTC_num_viable</t>
  </si>
  <si>
    <t>Individual</t>
  </si>
  <si>
    <t>D1</t>
  </si>
  <si>
    <t>D2</t>
  </si>
  <si>
    <t>D3</t>
  </si>
  <si>
    <t>D4</t>
  </si>
  <si>
    <t>D5</t>
  </si>
  <si>
    <t>D6</t>
  </si>
  <si>
    <t>D7</t>
  </si>
  <si>
    <t>D8</t>
  </si>
  <si>
    <t>D10</t>
  </si>
  <si>
    <t>D11</t>
  </si>
  <si>
    <t>D9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</si>
  <si>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</si>
  <si>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</si>
  <si>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</si>
  <si>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</si>
  <si>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</si>
  <si>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</si>
  <si>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</si>
  <si>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</si>
  <si>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</si>
  <si>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</si>
  <si>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</si>
  <si>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</si>
  <si>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</si>
  <si>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</si>
  <si>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</si>
  <si>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</si>
  <si>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</si>
  <si>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</si>
  <si>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</si>
  <si>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</si>
  <si>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</si>
  <si>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</si>
  <si>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</si>
  <si>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</si>
  <si>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</si>
  <si>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</si>
  <si>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</si>
  <si>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</si>
  <si>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TTC_proportion_viable</t>
  </si>
  <si>
    <t>X-ray_proportion_voiable</t>
  </si>
  <si>
    <t>X-ray_proportion_viable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</si>
  <si>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</si>
  <si>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</si>
  <si>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</si>
  <si>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</si>
  <si>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</si>
  <si>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</si>
  <si>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</si>
  <si>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</si>
  <si>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</si>
  <si>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</si>
  <si>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</si>
  <si>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Total_seeds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</si>
</sst>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1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2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0" applyFont="1" applyFill="1"/>
    <xf numFmtId="0" fontId="1" fillId="0" borderId="0" xfId="0" applyFont="1" applyFill="1" applyAlignment="1">
      <alignment wrapText="1"/>
    </xf>
    <xf numFmtId="0" fontId="0" fillId="0" borderId="1" xfId="0" applyFill="1" applyBorder="1"/>
    <xf numFmtId="0" fontId="0" fillId="0" borderId="0" xfId="0" applyFill="1"/>
    <xf numFmtId="0" fontId="0" fillId="0" borderId="2" xfId="0" applyFill="1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F836-B4C2-45F5-9F05-523524D791DF}">
  <dimension ref="A1:BG91"/>
  <sheetViews>
    <sheetView zoomScale="131" zoomScaleNormal="130" workbookViewId="0">
      <selection activeCell="AE65" sqref="AE65"/>
    </sheetView>
  </sheetViews>
  <sheetFormatPr baseColWidth="10" defaultColWidth="8.83203125" defaultRowHeight="15" x14ac:dyDescent="0.2"/>
  <cols>
    <col min="1" max="1" width="11.6640625" bestFit="1" customWidth="1"/>
    <col min="2" max="2" width="12" customWidth="1"/>
    <col min="3" max="3" width="8.5" bestFit="1" customWidth="1"/>
    <col min="4" max="8" width="14.5" customWidth="1"/>
    <col min="10" max="29" width="10.1640625" customWidth="1"/>
    <col min="30" max="30" width="10.1640625" style="3" customWidth="1"/>
    <col min="31" max="34" width="10.1640625" customWidth="1"/>
    <col min="35" max="35" width="10.1640625" style="4" customWidth="1"/>
    <col min="36" max="37" width="10.1640625" customWidth="1"/>
  </cols>
  <sheetData>
    <row r="1" spans="1:59" s="1" customFormat="1" ht="48" x14ac:dyDescent="0.2">
      <c r="A1" s="10" t="s">
        <v>1</v>
      </c>
      <c r="B1" s="10" t="s">
        <v>4</v>
      </c>
      <c r="C1" s="10" t="s">
        <v>0</v>
      </c>
      <c r="D1" s="10" t="s">
        <v>122</v>
      </c>
      <c r="E1" s="11" t="s">
        <v>163</v>
      </c>
      <c r="F1" s="11" t="s">
        <v>162</v>
      </c>
      <c r="G1" s="11" t="s">
        <v>121</v>
      </c>
      <c r="H1" s="11" t="s">
        <v>176</v>
      </c>
      <c r="I1" s="11" t="s">
        <v>120</v>
      </c>
      <c r="J1" s="10" t="s">
        <v>123</v>
      </c>
      <c r="K1" s="10" t="s">
        <v>124</v>
      </c>
      <c r="L1" s="10" t="s">
        <v>125</v>
      </c>
      <c r="M1" s="10" t="s">
        <v>126</v>
      </c>
      <c r="N1" s="10" t="s">
        <v>127</v>
      </c>
      <c r="O1" s="10" t="s">
        <v>128</v>
      </c>
      <c r="P1" s="10" t="s">
        <v>129</v>
      </c>
      <c r="Q1" s="10" t="s">
        <v>130</v>
      </c>
      <c r="R1" s="10" t="s">
        <v>133</v>
      </c>
      <c r="S1" s="10" t="s">
        <v>131</v>
      </c>
      <c r="T1" s="10" t="s">
        <v>132</v>
      </c>
      <c r="U1" s="10" t="s">
        <v>134</v>
      </c>
      <c r="V1" s="10" t="s">
        <v>135</v>
      </c>
      <c r="W1" s="10" t="s">
        <v>136</v>
      </c>
      <c r="X1" s="10" t="s">
        <v>137</v>
      </c>
      <c r="Y1" s="10" t="s">
        <v>138</v>
      </c>
      <c r="Z1" s="10" t="s">
        <v>139</v>
      </c>
      <c r="AA1" s="10" t="s">
        <v>140</v>
      </c>
      <c r="AB1" s="10" t="s">
        <v>141</v>
      </c>
      <c r="AC1" s="10" t="s">
        <v>142</v>
      </c>
      <c r="AD1" s="10" t="s">
        <v>143</v>
      </c>
      <c r="AE1" s="10" t="s">
        <v>144</v>
      </c>
      <c r="AF1" s="10" t="s">
        <v>145</v>
      </c>
      <c r="AG1" s="10" t="s">
        <v>146</v>
      </c>
      <c r="AH1" s="10" t="s">
        <v>147</v>
      </c>
      <c r="AI1" s="10" t="s">
        <v>148</v>
      </c>
      <c r="AJ1" s="10" t="s">
        <v>149</v>
      </c>
      <c r="AK1" s="10" t="s">
        <v>150</v>
      </c>
      <c r="AL1" s="10" t="s">
        <v>151</v>
      </c>
      <c r="AM1" s="10" t="s">
        <v>152</v>
      </c>
      <c r="AN1" s="10" t="s">
        <v>153</v>
      </c>
      <c r="AO1" s="10" t="s">
        <v>154</v>
      </c>
      <c r="AP1" s="10" t="s">
        <v>155</v>
      </c>
      <c r="AQ1" s="10" t="s">
        <v>156</v>
      </c>
      <c r="AR1" s="10" t="s">
        <v>157</v>
      </c>
      <c r="AS1" s="10" t="s">
        <v>158</v>
      </c>
      <c r="AT1" s="10" t="s">
        <v>159</v>
      </c>
      <c r="AU1" s="10" t="s">
        <v>160</v>
      </c>
      <c r="AV1" s="10" t="s">
        <v>161</v>
      </c>
      <c r="AW1" s="10" t="s">
        <v>165</v>
      </c>
      <c r="AX1" s="10" t="s">
        <v>166</v>
      </c>
      <c r="AY1" s="10" t="s">
        <v>167</v>
      </c>
      <c r="AZ1" s="10" t="s">
        <v>168</v>
      </c>
      <c r="BA1" s="10" t="s">
        <v>169</v>
      </c>
      <c r="BB1" s="10" t="s">
        <v>170</v>
      </c>
      <c r="BC1" s="10" t="s">
        <v>171</v>
      </c>
      <c r="BD1" s="10" t="s">
        <v>172</v>
      </c>
      <c r="BE1" s="10" t="s">
        <v>173</v>
      </c>
      <c r="BF1" s="10" t="s">
        <v>174</v>
      </c>
      <c r="BG1" s="10" t="s">
        <v>175</v>
      </c>
    </row>
    <row r="2" spans="1:59" s="2" customFormat="1" x14ac:dyDescent="0.2">
      <c r="A2" s="12" t="s">
        <v>3</v>
      </c>
      <c r="B2" s="12">
        <v>1</v>
      </c>
      <c r="C2" s="12" t="s">
        <v>2</v>
      </c>
      <c r="D2" s="12" t="s">
        <v>13</v>
      </c>
      <c r="E2" s="12">
        <v>0.9</v>
      </c>
      <c r="F2" s="12">
        <f>(I2+G2)/20</f>
        <v>0.95</v>
      </c>
      <c r="G2" s="12">
        <v>0</v>
      </c>
      <c r="H2" s="12">
        <v>20</v>
      </c>
      <c r="I2" s="12">
        <f t="shared" ref="I2:I12" si="0">SUM(J2:AU2)</f>
        <v>19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17</v>
      </c>
      <c r="W2" s="12">
        <v>0</v>
      </c>
      <c r="X2" s="12">
        <v>2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12">
        <v>0</v>
      </c>
      <c r="AF2" s="12">
        <v>0</v>
      </c>
      <c r="AG2" s="13">
        <v>0</v>
      </c>
      <c r="AH2" s="12">
        <v>0</v>
      </c>
      <c r="AI2" s="12">
        <v>0</v>
      </c>
      <c r="AJ2" s="13">
        <v>0</v>
      </c>
      <c r="AK2" s="12">
        <v>0</v>
      </c>
      <c r="AL2" s="12">
        <v>0</v>
      </c>
      <c r="AM2" s="13">
        <v>0</v>
      </c>
      <c r="AN2" s="12">
        <v>0</v>
      </c>
      <c r="AO2" s="12">
        <v>0</v>
      </c>
      <c r="AP2" s="12">
        <v>0</v>
      </c>
      <c r="AQ2" s="12">
        <v>0</v>
      </c>
      <c r="AR2" s="12">
        <v>0</v>
      </c>
      <c r="AS2" s="12">
        <v>0</v>
      </c>
      <c r="AT2" s="12">
        <v>0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0</v>
      </c>
      <c r="BA2" s="12">
        <v>0</v>
      </c>
      <c r="BB2" s="12">
        <v>0</v>
      </c>
      <c r="BC2" s="12">
        <v>0</v>
      </c>
      <c r="BD2" s="12">
        <v>0</v>
      </c>
      <c r="BE2" s="12">
        <v>0</v>
      </c>
      <c r="BF2" s="12">
        <v>0</v>
      </c>
      <c r="BG2" s="12">
        <v>0</v>
      </c>
    </row>
    <row r="3" spans="1:59" x14ac:dyDescent="0.2">
      <c r="A3" s="12" t="s">
        <v>3</v>
      </c>
      <c r="B3" s="13">
        <v>1</v>
      </c>
      <c r="C3" s="12" t="s">
        <v>2</v>
      </c>
      <c r="D3" s="13" t="s">
        <v>10</v>
      </c>
      <c r="E3" s="13">
        <v>1</v>
      </c>
      <c r="F3" s="13">
        <f>(I3+G3)/20</f>
        <v>0.95</v>
      </c>
      <c r="G3" s="13">
        <v>0</v>
      </c>
      <c r="H3" s="12">
        <v>20</v>
      </c>
      <c r="I3" s="13">
        <f t="shared" si="0"/>
        <v>19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18</v>
      </c>
      <c r="T3" s="13">
        <v>0</v>
      </c>
      <c r="U3" s="13">
        <v>0</v>
      </c>
      <c r="V3" s="13">
        <v>1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2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>
        <v>0</v>
      </c>
      <c r="AP3" s="13">
        <v>0</v>
      </c>
      <c r="AQ3" s="13">
        <v>0</v>
      </c>
      <c r="AR3" s="13">
        <v>0</v>
      </c>
      <c r="AS3" s="13">
        <v>0</v>
      </c>
      <c r="AT3" s="13">
        <v>0</v>
      </c>
      <c r="AU3" s="13">
        <v>0</v>
      </c>
      <c r="AV3" s="13">
        <v>0</v>
      </c>
      <c r="AW3" s="13">
        <v>0</v>
      </c>
      <c r="AX3" s="13">
        <v>0</v>
      </c>
      <c r="AY3" s="13">
        <v>0</v>
      </c>
      <c r="AZ3" s="13">
        <v>0</v>
      </c>
      <c r="BA3" s="13">
        <v>0</v>
      </c>
      <c r="BB3" s="13">
        <v>0</v>
      </c>
      <c r="BC3" s="13">
        <v>0</v>
      </c>
      <c r="BD3" s="13">
        <v>0</v>
      </c>
      <c r="BE3" s="13">
        <v>0</v>
      </c>
      <c r="BF3" s="13">
        <v>0</v>
      </c>
      <c r="BG3" s="13">
        <v>0</v>
      </c>
    </row>
    <row r="4" spans="1:59" x14ac:dyDescent="0.2">
      <c r="A4" s="12" t="s">
        <v>3</v>
      </c>
      <c r="B4" s="13">
        <v>1</v>
      </c>
      <c r="C4" s="12" t="s">
        <v>2</v>
      </c>
      <c r="D4" s="13" t="s">
        <v>14</v>
      </c>
      <c r="E4" s="13">
        <v>0.94</v>
      </c>
      <c r="F4" s="13">
        <f t="shared" ref="F4:F67" si="1">(I4+G4)/20</f>
        <v>0.95</v>
      </c>
      <c r="G4" s="13">
        <v>0</v>
      </c>
      <c r="H4" s="12">
        <v>20</v>
      </c>
      <c r="I4" s="13">
        <f t="shared" si="0"/>
        <v>19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7</v>
      </c>
      <c r="T4" s="13">
        <v>0</v>
      </c>
      <c r="U4" s="13">
        <v>0</v>
      </c>
      <c r="V4" s="13">
        <v>12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2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</row>
    <row r="5" spans="1:59" x14ac:dyDescent="0.2">
      <c r="A5" s="12" t="s">
        <v>3</v>
      </c>
      <c r="B5" s="13">
        <v>1</v>
      </c>
      <c r="C5" s="12" t="s">
        <v>2</v>
      </c>
      <c r="D5" s="13" t="s">
        <v>15</v>
      </c>
      <c r="E5" s="13">
        <v>0.94</v>
      </c>
      <c r="F5" s="13">
        <f t="shared" si="1"/>
        <v>0.85</v>
      </c>
      <c r="G5" s="13">
        <v>0</v>
      </c>
      <c r="H5" s="12">
        <v>20</v>
      </c>
      <c r="I5" s="13">
        <f t="shared" si="0"/>
        <v>17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4</v>
      </c>
      <c r="T5" s="13">
        <v>0</v>
      </c>
      <c r="U5" s="13">
        <v>0</v>
      </c>
      <c r="V5" s="13">
        <v>12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1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</row>
    <row r="6" spans="1:59" x14ac:dyDescent="0.2">
      <c r="A6" s="12" t="s">
        <v>3</v>
      </c>
      <c r="B6" s="13">
        <v>1</v>
      </c>
      <c r="C6" s="12" t="s">
        <v>2</v>
      </c>
      <c r="D6" s="13" t="s">
        <v>16</v>
      </c>
      <c r="E6" s="13">
        <v>0.78</v>
      </c>
      <c r="F6" s="13">
        <f t="shared" si="1"/>
        <v>0.7</v>
      </c>
      <c r="G6" s="13">
        <v>0</v>
      </c>
      <c r="H6" s="12">
        <v>20</v>
      </c>
      <c r="I6" s="13">
        <f t="shared" si="0"/>
        <v>14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12</v>
      </c>
      <c r="W6" s="13">
        <v>0</v>
      </c>
      <c r="X6" s="13">
        <v>0</v>
      </c>
      <c r="Y6" s="13">
        <v>0</v>
      </c>
      <c r="Z6" s="13">
        <v>1</v>
      </c>
      <c r="AA6" s="13">
        <v>0</v>
      </c>
      <c r="AB6" s="13">
        <v>0</v>
      </c>
      <c r="AC6" s="13">
        <v>1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</row>
    <row r="7" spans="1:59" x14ac:dyDescent="0.2">
      <c r="A7" s="12" t="s">
        <v>3</v>
      </c>
      <c r="B7" s="13">
        <v>1</v>
      </c>
      <c r="C7" s="12" t="s">
        <v>2</v>
      </c>
      <c r="D7" s="13" t="s">
        <v>17</v>
      </c>
      <c r="E7" s="13">
        <v>0.95</v>
      </c>
      <c r="F7" s="13">
        <f t="shared" si="1"/>
        <v>0.8</v>
      </c>
      <c r="G7" s="13">
        <v>0</v>
      </c>
      <c r="H7" s="12">
        <v>20</v>
      </c>
      <c r="I7" s="13">
        <f t="shared" si="0"/>
        <v>16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7</v>
      </c>
      <c r="R7" s="13">
        <v>0</v>
      </c>
      <c r="S7" s="13">
        <v>9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</row>
    <row r="8" spans="1:59" x14ac:dyDescent="0.2">
      <c r="A8" s="12" t="s">
        <v>3</v>
      </c>
      <c r="B8" s="13">
        <v>1</v>
      </c>
      <c r="C8" s="12" t="s">
        <v>2</v>
      </c>
      <c r="D8" s="13" t="s">
        <v>18</v>
      </c>
      <c r="E8" s="13">
        <v>0.95</v>
      </c>
      <c r="F8" s="13">
        <f t="shared" si="1"/>
        <v>0.9</v>
      </c>
      <c r="G8" s="13">
        <v>0</v>
      </c>
      <c r="H8" s="12">
        <v>20</v>
      </c>
      <c r="I8" s="13">
        <f t="shared" si="0"/>
        <v>18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16</v>
      </c>
      <c r="R8" s="13">
        <v>0</v>
      </c>
      <c r="S8" s="13">
        <v>1</v>
      </c>
      <c r="T8" s="13">
        <v>0</v>
      </c>
      <c r="U8" s="13">
        <v>0</v>
      </c>
      <c r="V8" s="13">
        <v>1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</row>
    <row r="9" spans="1:59" x14ac:dyDescent="0.2">
      <c r="A9" s="12" t="s">
        <v>3</v>
      </c>
      <c r="B9" s="13">
        <v>1</v>
      </c>
      <c r="C9" s="12" t="s">
        <v>2</v>
      </c>
      <c r="D9" s="13" t="s">
        <v>11</v>
      </c>
      <c r="E9" s="13">
        <v>0.75</v>
      </c>
      <c r="F9" s="13">
        <f t="shared" si="1"/>
        <v>0.65</v>
      </c>
      <c r="G9" s="13">
        <v>0</v>
      </c>
      <c r="H9" s="12">
        <v>20</v>
      </c>
      <c r="I9" s="13">
        <f t="shared" si="0"/>
        <v>13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5</v>
      </c>
      <c r="T9" s="13">
        <v>0</v>
      </c>
      <c r="U9" s="13">
        <v>0</v>
      </c>
      <c r="V9" s="13">
        <v>6</v>
      </c>
      <c r="W9" s="13">
        <v>0</v>
      </c>
      <c r="X9" s="13">
        <v>0</v>
      </c>
      <c r="Y9" s="13">
        <v>0</v>
      </c>
      <c r="Z9" s="13">
        <v>2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</row>
    <row r="10" spans="1:59" x14ac:dyDescent="0.2">
      <c r="A10" s="12" t="s">
        <v>3</v>
      </c>
      <c r="B10" s="13">
        <v>1</v>
      </c>
      <c r="C10" s="12" t="s">
        <v>2</v>
      </c>
      <c r="D10" s="13" t="s">
        <v>30</v>
      </c>
      <c r="E10" s="13">
        <v>0.91</v>
      </c>
      <c r="F10" s="13">
        <f t="shared" si="1"/>
        <v>0.85</v>
      </c>
      <c r="G10" s="13">
        <v>0</v>
      </c>
      <c r="H10" s="12">
        <v>20</v>
      </c>
      <c r="I10" s="13">
        <f t="shared" si="0"/>
        <v>17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3">
        <v>0</v>
      </c>
      <c r="S10" s="13">
        <v>1</v>
      </c>
      <c r="T10" s="13">
        <v>0</v>
      </c>
      <c r="U10" s="13">
        <v>0</v>
      </c>
      <c r="V10" s="13">
        <v>14</v>
      </c>
      <c r="W10" s="13">
        <v>0</v>
      </c>
      <c r="X10" s="13">
        <v>1</v>
      </c>
      <c r="Y10" s="13">
        <v>0</v>
      </c>
      <c r="Z10" s="13">
        <v>0</v>
      </c>
      <c r="AA10" s="13">
        <v>0</v>
      </c>
      <c r="AB10" s="13">
        <v>0</v>
      </c>
      <c r="AC10" s="13">
        <v>1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</row>
    <row r="11" spans="1:59" x14ac:dyDescent="0.2">
      <c r="A11" s="12" t="s">
        <v>3</v>
      </c>
      <c r="B11" s="13">
        <v>1</v>
      </c>
      <c r="C11" s="12" t="s">
        <v>2</v>
      </c>
      <c r="D11" s="13" t="s">
        <v>19</v>
      </c>
      <c r="E11" s="13">
        <v>0.92</v>
      </c>
      <c r="F11" s="13">
        <f t="shared" si="1"/>
        <v>0.8</v>
      </c>
      <c r="G11" s="13">
        <v>0</v>
      </c>
      <c r="H11" s="12">
        <v>20</v>
      </c>
      <c r="I11" s="13">
        <f t="shared" si="0"/>
        <v>16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16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</row>
    <row r="12" spans="1:59" x14ac:dyDescent="0.2">
      <c r="A12" s="12" t="s">
        <v>3</v>
      </c>
      <c r="B12" s="13">
        <v>1</v>
      </c>
      <c r="C12" s="12" t="s">
        <v>2</v>
      </c>
      <c r="D12" s="13" t="s">
        <v>12</v>
      </c>
      <c r="E12" s="13">
        <v>0.74</v>
      </c>
      <c r="F12" s="13">
        <f t="shared" si="1"/>
        <v>0.6</v>
      </c>
      <c r="G12" s="13">
        <v>3</v>
      </c>
      <c r="H12" s="12">
        <v>20</v>
      </c>
      <c r="I12" s="13">
        <f t="shared" si="0"/>
        <v>9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7</v>
      </c>
      <c r="T12" s="13">
        <v>0</v>
      </c>
      <c r="U12" s="13">
        <v>0</v>
      </c>
      <c r="V12" s="13">
        <v>2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</row>
    <row r="13" spans="1:59" s="5" customFormat="1" x14ac:dyDescent="0.2">
      <c r="A13" s="12" t="s">
        <v>3</v>
      </c>
      <c r="B13" s="13">
        <v>1</v>
      </c>
      <c r="C13" s="12" t="s">
        <v>2</v>
      </c>
      <c r="D13" s="13" t="s">
        <v>20</v>
      </c>
      <c r="E13" s="13">
        <v>0.12</v>
      </c>
      <c r="F13" s="13">
        <f t="shared" si="1"/>
        <v>0.15</v>
      </c>
      <c r="G13" s="13">
        <v>0</v>
      </c>
      <c r="H13" s="12">
        <v>20</v>
      </c>
      <c r="I13" s="13">
        <f t="shared" ref="I13:I57" si="2">SUM(J13:AV13)</f>
        <v>3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1</v>
      </c>
      <c r="Y13" s="13">
        <v>0</v>
      </c>
      <c r="Z13" s="13">
        <v>0</v>
      </c>
      <c r="AA13" s="13">
        <v>0</v>
      </c>
      <c r="AB13" s="13">
        <v>0</v>
      </c>
      <c r="AC13" s="13">
        <v>1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1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</row>
    <row r="14" spans="1:59" x14ac:dyDescent="0.2">
      <c r="A14" s="12" t="s">
        <v>3</v>
      </c>
      <c r="B14" s="13">
        <v>1</v>
      </c>
      <c r="C14" s="12" t="s">
        <v>2</v>
      </c>
      <c r="D14" s="13" t="s">
        <v>41</v>
      </c>
      <c r="E14" s="13">
        <v>0.78</v>
      </c>
      <c r="F14" s="13">
        <f t="shared" si="1"/>
        <v>0.75</v>
      </c>
      <c r="G14" s="13">
        <v>0</v>
      </c>
      <c r="H14" s="12">
        <v>20</v>
      </c>
      <c r="I14" s="13">
        <f t="shared" ref="I14:I32" si="3">SUM(J14:AU14)</f>
        <v>15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12</v>
      </c>
      <c r="T14" s="13">
        <v>0</v>
      </c>
      <c r="U14" s="13">
        <v>0</v>
      </c>
      <c r="V14" s="13">
        <v>3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</row>
    <row r="15" spans="1:59" x14ac:dyDescent="0.2">
      <c r="A15" s="12" t="s">
        <v>3</v>
      </c>
      <c r="B15" s="13">
        <v>1</v>
      </c>
      <c r="C15" s="12" t="s">
        <v>2</v>
      </c>
      <c r="D15" s="13" t="s">
        <v>22</v>
      </c>
      <c r="E15" s="13">
        <v>0.72</v>
      </c>
      <c r="F15" s="13">
        <f t="shared" si="1"/>
        <v>0.3</v>
      </c>
      <c r="G15" s="13">
        <v>0</v>
      </c>
      <c r="H15" s="12">
        <v>20</v>
      </c>
      <c r="I15" s="13">
        <f t="shared" si="3"/>
        <v>6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6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</row>
    <row r="16" spans="1:59" s="6" customFormat="1" x14ac:dyDescent="0.2">
      <c r="A16" s="12" t="s">
        <v>3</v>
      </c>
      <c r="B16" s="14">
        <v>1</v>
      </c>
      <c r="C16" s="12" t="s">
        <v>2</v>
      </c>
      <c r="D16" s="14" t="s">
        <v>21</v>
      </c>
      <c r="E16" s="14">
        <v>0.85</v>
      </c>
      <c r="F16" s="14">
        <f t="shared" si="1"/>
        <v>0.8</v>
      </c>
      <c r="G16" s="14">
        <v>0</v>
      </c>
      <c r="H16" s="12">
        <v>20</v>
      </c>
      <c r="I16" s="14">
        <f t="shared" si="3"/>
        <v>16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16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</row>
    <row r="17" spans="1:59" x14ac:dyDescent="0.2">
      <c r="A17" s="13" t="s">
        <v>5</v>
      </c>
      <c r="B17" s="13">
        <v>1</v>
      </c>
      <c r="C17" s="13" t="s">
        <v>2</v>
      </c>
      <c r="D17" s="13" t="s">
        <v>23</v>
      </c>
      <c r="E17" s="13">
        <v>1</v>
      </c>
      <c r="F17" s="13">
        <f t="shared" si="1"/>
        <v>1</v>
      </c>
      <c r="G17" s="15">
        <v>0</v>
      </c>
      <c r="H17" s="12">
        <v>20</v>
      </c>
      <c r="I17" s="13">
        <f t="shared" si="3"/>
        <v>20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16</v>
      </c>
      <c r="T17" s="13">
        <v>0</v>
      </c>
      <c r="U17" s="13">
        <v>0</v>
      </c>
      <c r="V17" s="13">
        <v>3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1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</row>
    <row r="18" spans="1:59" x14ac:dyDescent="0.2">
      <c r="A18" s="13" t="s">
        <v>5</v>
      </c>
      <c r="B18" s="13">
        <v>1</v>
      </c>
      <c r="C18" s="13" t="s">
        <v>2</v>
      </c>
      <c r="D18" s="13" t="s">
        <v>24</v>
      </c>
      <c r="E18" s="13">
        <v>0.95</v>
      </c>
      <c r="F18" s="13">
        <f t="shared" si="1"/>
        <v>1</v>
      </c>
      <c r="G18" s="13">
        <v>0</v>
      </c>
      <c r="H18" s="12">
        <v>20</v>
      </c>
      <c r="I18" s="13">
        <f t="shared" si="3"/>
        <v>20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0</v>
      </c>
      <c r="S18" s="13">
        <v>1</v>
      </c>
      <c r="T18" s="13">
        <v>0</v>
      </c>
      <c r="U18" s="13">
        <v>0</v>
      </c>
      <c r="V18" s="13">
        <v>14</v>
      </c>
      <c r="W18" s="13">
        <v>0</v>
      </c>
      <c r="X18" s="13">
        <v>3</v>
      </c>
      <c r="Y18" s="13">
        <v>0</v>
      </c>
      <c r="Z18" s="13">
        <v>2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</row>
    <row r="19" spans="1:59" x14ac:dyDescent="0.2">
      <c r="A19" s="13" t="s">
        <v>5</v>
      </c>
      <c r="B19" s="13">
        <v>1</v>
      </c>
      <c r="C19" s="13" t="s">
        <v>2</v>
      </c>
      <c r="D19" s="13" t="s">
        <v>25</v>
      </c>
      <c r="E19" s="13">
        <v>0.67</v>
      </c>
      <c r="F19" s="13">
        <f t="shared" si="1"/>
        <v>0.95</v>
      </c>
      <c r="G19" s="13">
        <v>0</v>
      </c>
      <c r="H19" s="12">
        <v>20</v>
      </c>
      <c r="I19" s="13">
        <f t="shared" si="3"/>
        <v>19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11</v>
      </c>
      <c r="T19" s="13">
        <v>0</v>
      </c>
      <c r="U19" s="13">
        <v>0</v>
      </c>
      <c r="V19" s="13">
        <v>7</v>
      </c>
      <c r="W19" s="13">
        <v>0</v>
      </c>
      <c r="X19" s="13">
        <v>1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</row>
    <row r="20" spans="1:59" x14ac:dyDescent="0.2">
      <c r="A20" s="13" t="s">
        <v>5</v>
      </c>
      <c r="B20" s="13">
        <v>1</v>
      </c>
      <c r="C20" s="13" t="s">
        <v>2</v>
      </c>
      <c r="D20" s="13" t="s">
        <v>26</v>
      </c>
      <c r="E20" s="13">
        <v>0.99</v>
      </c>
      <c r="F20" s="13">
        <f t="shared" si="1"/>
        <v>0.9</v>
      </c>
      <c r="G20" s="13">
        <v>0</v>
      </c>
      <c r="H20" s="12">
        <v>20</v>
      </c>
      <c r="I20" s="13">
        <f t="shared" si="3"/>
        <v>18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9</v>
      </c>
      <c r="T20" s="13">
        <v>0</v>
      </c>
      <c r="U20" s="13">
        <v>0</v>
      </c>
      <c r="V20" s="13">
        <v>9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</row>
    <row r="21" spans="1:59" x14ac:dyDescent="0.2">
      <c r="A21" s="13" t="s">
        <v>5</v>
      </c>
      <c r="B21" s="13">
        <v>1</v>
      </c>
      <c r="C21" s="13" t="s">
        <v>2</v>
      </c>
      <c r="D21" s="13" t="s">
        <v>10</v>
      </c>
      <c r="E21" s="13">
        <v>1</v>
      </c>
      <c r="F21" s="13">
        <f t="shared" si="1"/>
        <v>0.95</v>
      </c>
      <c r="G21" s="13">
        <v>0</v>
      </c>
      <c r="H21" s="12">
        <v>20</v>
      </c>
      <c r="I21" s="13">
        <f t="shared" si="3"/>
        <v>19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8</v>
      </c>
      <c r="T21" s="13">
        <v>0</v>
      </c>
      <c r="U21" s="13">
        <v>0</v>
      </c>
      <c r="V21" s="13">
        <v>5</v>
      </c>
      <c r="W21" s="13">
        <v>0</v>
      </c>
      <c r="X21" s="13">
        <v>3</v>
      </c>
      <c r="Y21" s="13">
        <v>0</v>
      </c>
      <c r="Z21" s="13">
        <v>3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</row>
    <row r="22" spans="1:59" x14ac:dyDescent="0.2">
      <c r="A22" s="13" t="s">
        <v>5</v>
      </c>
      <c r="B22" s="13">
        <v>1</v>
      </c>
      <c r="C22" s="13" t="s">
        <v>2</v>
      </c>
      <c r="D22" s="13" t="s">
        <v>27</v>
      </c>
      <c r="E22" s="13">
        <v>0.89</v>
      </c>
      <c r="F22" s="13">
        <f t="shared" si="1"/>
        <v>0.9</v>
      </c>
      <c r="G22" s="13">
        <v>0</v>
      </c>
      <c r="H22" s="12">
        <v>20</v>
      </c>
      <c r="I22" s="13">
        <f t="shared" si="3"/>
        <v>18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16</v>
      </c>
      <c r="W22" s="13">
        <v>0</v>
      </c>
      <c r="X22" s="13">
        <v>2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</row>
    <row r="23" spans="1:59" x14ac:dyDescent="0.2">
      <c r="A23" s="13" t="s">
        <v>5</v>
      </c>
      <c r="B23" s="13">
        <v>1</v>
      </c>
      <c r="C23" s="13" t="s">
        <v>2</v>
      </c>
      <c r="D23" s="13" t="s">
        <v>15</v>
      </c>
      <c r="E23" s="13">
        <v>0.94</v>
      </c>
      <c r="F23" s="13">
        <f t="shared" si="1"/>
        <v>0.85</v>
      </c>
      <c r="G23" s="13">
        <v>0</v>
      </c>
      <c r="H23" s="12">
        <v>20</v>
      </c>
      <c r="I23" s="13">
        <f t="shared" si="3"/>
        <v>17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10</v>
      </c>
      <c r="W23" s="13">
        <v>0</v>
      </c>
      <c r="X23" s="13">
        <v>3</v>
      </c>
      <c r="Y23" s="13">
        <v>0</v>
      </c>
      <c r="Z23" s="13">
        <v>3</v>
      </c>
      <c r="AA23" s="13">
        <v>0</v>
      </c>
      <c r="AB23" s="13">
        <v>0</v>
      </c>
      <c r="AC23" s="13">
        <v>0</v>
      </c>
      <c r="AD23" s="13">
        <v>0</v>
      </c>
      <c r="AE23" s="13">
        <v>1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</row>
    <row r="24" spans="1:59" x14ac:dyDescent="0.2">
      <c r="A24" s="13" t="s">
        <v>5</v>
      </c>
      <c r="B24" s="13">
        <v>1</v>
      </c>
      <c r="C24" s="13" t="s">
        <v>2</v>
      </c>
      <c r="D24" s="13" t="s">
        <v>28</v>
      </c>
      <c r="E24" s="13">
        <v>0.91</v>
      </c>
      <c r="F24" s="13">
        <f t="shared" si="1"/>
        <v>0</v>
      </c>
      <c r="G24" s="13">
        <v>0</v>
      </c>
      <c r="H24" s="12">
        <v>20</v>
      </c>
      <c r="I24" s="13">
        <f t="shared" si="3"/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</row>
    <row r="25" spans="1:59" x14ac:dyDescent="0.2">
      <c r="A25" s="13" t="s">
        <v>5</v>
      </c>
      <c r="B25" s="13">
        <v>1</v>
      </c>
      <c r="C25" s="13" t="s">
        <v>2</v>
      </c>
      <c r="D25" s="13" t="s">
        <v>29</v>
      </c>
      <c r="E25" s="13">
        <v>0.81</v>
      </c>
      <c r="F25" s="13">
        <f t="shared" si="1"/>
        <v>0.75</v>
      </c>
      <c r="G25" s="13">
        <v>0</v>
      </c>
      <c r="H25" s="12">
        <v>20</v>
      </c>
      <c r="I25" s="13">
        <f t="shared" si="3"/>
        <v>15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9</v>
      </c>
      <c r="T25" s="13">
        <v>0</v>
      </c>
      <c r="U25" s="13">
        <v>0</v>
      </c>
      <c r="V25" s="13">
        <v>5</v>
      </c>
      <c r="W25" s="13">
        <v>0</v>
      </c>
      <c r="X25" s="13">
        <v>0</v>
      </c>
      <c r="Y25" s="13">
        <v>0</v>
      </c>
      <c r="Z25" s="13">
        <v>1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</row>
    <row r="26" spans="1:59" x14ac:dyDescent="0.2">
      <c r="A26" s="13" t="s">
        <v>5</v>
      </c>
      <c r="B26" s="13">
        <v>1</v>
      </c>
      <c r="C26" s="13" t="s">
        <v>2</v>
      </c>
      <c r="D26" s="13" t="s">
        <v>30</v>
      </c>
      <c r="E26" s="13">
        <v>0.91</v>
      </c>
      <c r="F26" s="13">
        <f t="shared" si="1"/>
        <v>0.95</v>
      </c>
      <c r="G26" s="13">
        <v>2</v>
      </c>
      <c r="H26" s="12">
        <v>20</v>
      </c>
      <c r="I26" s="13">
        <f t="shared" si="3"/>
        <v>17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12</v>
      </c>
      <c r="W26" s="13">
        <v>0</v>
      </c>
      <c r="X26" s="13">
        <v>4</v>
      </c>
      <c r="Y26" s="13">
        <v>0</v>
      </c>
      <c r="Z26" s="13">
        <v>1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</row>
    <row r="27" spans="1:59" x14ac:dyDescent="0.2">
      <c r="A27" s="13" t="s">
        <v>5</v>
      </c>
      <c r="B27" s="13">
        <v>1</v>
      </c>
      <c r="C27" s="13" t="s">
        <v>2</v>
      </c>
      <c r="D27" s="13" t="s">
        <v>31</v>
      </c>
      <c r="E27" s="13">
        <v>0.95</v>
      </c>
      <c r="F27" s="13">
        <f t="shared" si="1"/>
        <v>0.95</v>
      </c>
      <c r="G27" s="13">
        <v>0</v>
      </c>
      <c r="H27" s="12">
        <v>20</v>
      </c>
      <c r="I27" s="13">
        <f t="shared" si="3"/>
        <v>19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8</v>
      </c>
      <c r="T27" s="13">
        <v>0</v>
      </c>
      <c r="U27" s="13">
        <v>0</v>
      </c>
      <c r="V27" s="13">
        <v>11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</row>
    <row r="28" spans="1:59" x14ac:dyDescent="0.2">
      <c r="A28" s="13" t="s">
        <v>5</v>
      </c>
      <c r="B28" s="13">
        <v>1</v>
      </c>
      <c r="C28" s="13" t="s">
        <v>2</v>
      </c>
      <c r="D28" s="13" t="s">
        <v>32</v>
      </c>
      <c r="E28" s="13">
        <v>0.84</v>
      </c>
      <c r="F28" s="13">
        <f t="shared" si="1"/>
        <v>0.75</v>
      </c>
      <c r="G28" s="13">
        <v>0</v>
      </c>
      <c r="H28" s="12">
        <v>20</v>
      </c>
      <c r="I28" s="13">
        <f t="shared" si="3"/>
        <v>15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15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</row>
    <row r="29" spans="1:59" x14ac:dyDescent="0.2">
      <c r="A29" s="13" t="s">
        <v>5</v>
      </c>
      <c r="B29" s="13">
        <v>1</v>
      </c>
      <c r="C29" s="13" t="s">
        <v>2</v>
      </c>
      <c r="D29" s="13" t="s">
        <v>21</v>
      </c>
      <c r="E29" s="13">
        <v>0.85</v>
      </c>
      <c r="F29" s="13">
        <f t="shared" si="1"/>
        <v>0.85</v>
      </c>
      <c r="G29" s="13">
        <v>0</v>
      </c>
      <c r="H29" s="12">
        <v>20</v>
      </c>
      <c r="I29" s="13">
        <f t="shared" si="3"/>
        <v>17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1</v>
      </c>
      <c r="R29" s="13">
        <v>0</v>
      </c>
      <c r="S29" s="13">
        <v>13</v>
      </c>
      <c r="T29" s="13">
        <v>0</v>
      </c>
      <c r="U29" s="13">
        <v>0</v>
      </c>
      <c r="V29" s="13">
        <v>3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</row>
    <row r="30" spans="1:59" x14ac:dyDescent="0.2">
      <c r="A30" s="13" t="s">
        <v>5</v>
      </c>
      <c r="B30" s="13">
        <v>1</v>
      </c>
      <c r="C30" s="13" t="s">
        <v>2</v>
      </c>
      <c r="D30" s="13" t="s">
        <v>33</v>
      </c>
      <c r="E30" s="13">
        <v>0.97</v>
      </c>
      <c r="F30" s="13">
        <f t="shared" si="1"/>
        <v>1</v>
      </c>
      <c r="G30" s="13">
        <v>0</v>
      </c>
      <c r="H30" s="12">
        <v>20</v>
      </c>
      <c r="I30" s="13">
        <f t="shared" si="3"/>
        <v>20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8</v>
      </c>
      <c r="T30" s="13">
        <v>0</v>
      </c>
      <c r="U30" s="13">
        <v>0</v>
      </c>
      <c r="V30" s="13">
        <v>10</v>
      </c>
      <c r="W30" s="13">
        <v>0</v>
      </c>
      <c r="X30" s="13">
        <v>1</v>
      </c>
      <c r="Y30" s="13">
        <v>0</v>
      </c>
      <c r="Z30" s="13">
        <v>1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</row>
    <row r="31" spans="1:59" s="6" customFormat="1" x14ac:dyDescent="0.2">
      <c r="A31" s="13" t="s">
        <v>5</v>
      </c>
      <c r="B31" s="14">
        <v>1</v>
      </c>
      <c r="C31" s="13" t="s">
        <v>2</v>
      </c>
      <c r="D31" s="14" t="s">
        <v>34</v>
      </c>
      <c r="E31" s="14">
        <v>0.93</v>
      </c>
      <c r="F31" s="14">
        <f t="shared" si="1"/>
        <v>0.95</v>
      </c>
      <c r="G31" s="14">
        <v>0</v>
      </c>
      <c r="H31" s="12">
        <v>20</v>
      </c>
      <c r="I31" s="14">
        <f t="shared" si="3"/>
        <v>19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13</v>
      </c>
      <c r="T31" s="14">
        <v>0</v>
      </c>
      <c r="U31" s="14">
        <v>0</v>
      </c>
      <c r="V31" s="14">
        <v>6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4">
        <v>0</v>
      </c>
      <c r="AN31" s="14">
        <v>0</v>
      </c>
      <c r="AO31" s="14">
        <v>0</v>
      </c>
      <c r="AP31" s="14">
        <v>0</v>
      </c>
      <c r="AQ31" s="14">
        <v>0</v>
      </c>
      <c r="AR31" s="14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</row>
    <row r="32" spans="1:59" x14ac:dyDescent="0.2">
      <c r="A32" s="13" t="s">
        <v>6</v>
      </c>
      <c r="B32" s="13">
        <v>1</v>
      </c>
      <c r="C32" s="13" t="s">
        <v>2</v>
      </c>
      <c r="D32" s="13" t="s">
        <v>24</v>
      </c>
      <c r="E32" s="13">
        <v>0.95</v>
      </c>
      <c r="F32" s="13">
        <f t="shared" si="1"/>
        <v>1</v>
      </c>
      <c r="G32" s="13">
        <v>2</v>
      </c>
      <c r="H32" s="12">
        <v>20</v>
      </c>
      <c r="I32" s="13">
        <f t="shared" si="3"/>
        <v>18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3</v>
      </c>
      <c r="W32" s="13">
        <v>0</v>
      </c>
      <c r="X32" s="13">
        <v>10</v>
      </c>
      <c r="Y32" s="13">
        <v>0</v>
      </c>
      <c r="Z32" s="13">
        <v>5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</row>
    <row r="33" spans="1:59" s="5" customFormat="1" x14ac:dyDescent="0.2">
      <c r="A33" s="13" t="s">
        <v>6</v>
      </c>
      <c r="B33" s="13">
        <v>1</v>
      </c>
      <c r="C33" s="13" t="s">
        <v>2</v>
      </c>
      <c r="D33" s="13" t="s">
        <v>35</v>
      </c>
      <c r="E33" s="13">
        <v>0.79</v>
      </c>
      <c r="F33" s="13">
        <f t="shared" si="1"/>
        <v>0.85</v>
      </c>
      <c r="G33" s="13">
        <v>0</v>
      </c>
      <c r="H33" s="12">
        <v>20</v>
      </c>
      <c r="I33" s="13">
        <f t="shared" si="2"/>
        <v>17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12</v>
      </c>
      <c r="W33" s="13">
        <v>0</v>
      </c>
      <c r="X33" s="13">
        <v>3</v>
      </c>
      <c r="Y33" s="13">
        <v>0</v>
      </c>
      <c r="Z33" s="13">
        <v>1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1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</row>
    <row r="34" spans="1:59" x14ac:dyDescent="0.2">
      <c r="A34" s="13" t="s">
        <v>6</v>
      </c>
      <c r="B34" s="13">
        <v>1</v>
      </c>
      <c r="C34" s="13" t="s">
        <v>2</v>
      </c>
      <c r="D34" s="13" t="s">
        <v>27</v>
      </c>
      <c r="E34" s="13">
        <v>0.89</v>
      </c>
      <c r="F34" s="13">
        <f t="shared" si="1"/>
        <v>0.75</v>
      </c>
      <c r="G34" s="13">
        <v>1</v>
      </c>
      <c r="H34" s="12">
        <v>20</v>
      </c>
      <c r="I34" s="13">
        <f t="shared" ref="I34:I56" si="4">SUM(J34:AU34)</f>
        <v>14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11</v>
      </c>
      <c r="W34" s="13">
        <v>0</v>
      </c>
      <c r="X34" s="13">
        <v>2</v>
      </c>
      <c r="Y34" s="13">
        <v>0</v>
      </c>
      <c r="Z34" s="13">
        <v>1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</row>
    <row r="35" spans="1:59" x14ac:dyDescent="0.2">
      <c r="A35" s="13" t="s">
        <v>6</v>
      </c>
      <c r="B35" s="13">
        <v>1</v>
      </c>
      <c r="C35" s="13" t="s">
        <v>2</v>
      </c>
      <c r="D35" s="13" t="s">
        <v>14</v>
      </c>
      <c r="E35" s="13">
        <v>0.93</v>
      </c>
      <c r="F35" s="13">
        <f t="shared" si="1"/>
        <v>0.9</v>
      </c>
      <c r="G35" s="13">
        <v>0</v>
      </c>
      <c r="H35" s="12">
        <v>20</v>
      </c>
      <c r="I35" s="13">
        <f t="shared" si="4"/>
        <v>18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15</v>
      </c>
      <c r="W35" s="13">
        <v>0</v>
      </c>
      <c r="X35" s="13">
        <v>1</v>
      </c>
      <c r="Y35" s="13">
        <v>0</v>
      </c>
      <c r="Z35" s="13">
        <v>0</v>
      </c>
      <c r="AA35" s="13">
        <v>0</v>
      </c>
      <c r="AB35" s="13">
        <v>0</v>
      </c>
      <c r="AC35" s="13">
        <v>2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</row>
    <row r="36" spans="1:59" x14ac:dyDescent="0.2">
      <c r="A36" s="13" t="s">
        <v>6</v>
      </c>
      <c r="B36" s="13">
        <v>1</v>
      </c>
      <c r="C36" s="13" t="s">
        <v>2</v>
      </c>
      <c r="D36" s="13" t="s">
        <v>36</v>
      </c>
      <c r="E36" s="13">
        <v>0.96</v>
      </c>
      <c r="F36" s="13">
        <f t="shared" si="1"/>
        <v>0.85</v>
      </c>
      <c r="G36" s="13">
        <v>0</v>
      </c>
      <c r="H36" s="12">
        <v>20</v>
      </c>
      <c r="I36" s="13">
        <f t="shared" si="4"/>
        <v>17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8</v>
      </c>
      <c r="W36" s="13">
        <v>0</v>
      </c>
      <c r="X36" s="13">
        <v>5</v>
      </c>
      <c r="Y36" s="13">
        <v>0</v>
      </c>
      <c r="Z36" s="13">
        <v>2</v>
      </c>
      <c r="AA36" s="13">
        <v>0</v>
      </c>
      <c r="AB36" s="13">
        <v>0</v>
      </c>
      <c r="AC36" s="13">
        <v>2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</row>
    <row r="37" spans="1:59" x14ac:dyDescent="0.2">
      <c r="A37" s="13" t="s">
        <v>6</v>
      </c>
      <c r="B37" s="13">
        <v>1</v>
      </c>
      <c r="C37" s="13" t="s">
        <v>2</v>
      </c>
      <c r="D37" s="13" t="s">
        <v>17</v>
      </c>
      <c r="E37" s="13">
        <v>0.95</v>
      </c>
      <c r="F37" s="13">
        <f t="shared" si="1"/>
        <v>1</v>
      </c>
      <c r="G37" s="13">
        <v>0</v>
      </c>
      <c r="H37" s="12">
        <v>20</v>
      </c>
      <c r="I37" s="13">
        <f t="shared" si="4"/>
        <v>20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12</v>
      </c>
      <c r="T37" s="13">
        <v>0</v>
      </c>
      <c r="U37" s="13">
        <v>0</v>
      </c>
      <c r="V37" s="13">
        <v>6</v>
      </c>
      <c r="W37" s="13">
        <v>0</v>
      </c>
      <c r="X37" s="13">
        <v>1</v>
      </c>
      <c r="Y37" s="13">
        <v>0</v>
      </c>
      <c r="Z37" s="13">
        <v>0</v>
      </c>
      <c r="AA37" s="13">
        <v>0</v>
      </c>
      <c r="AB37" s="13">
        <v>0</v>
      </c>
      <c r="AC37" s="13">
        <v>1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</row>
    <row r="38" spans="1:59" x14ac:dyDescent="0.2">
      <c r="A38" s="13" t="s">
        <v>6</v>
      </c>
      <c r="B38" s="13">
        <v>1</v>
      </c>
      <c r="C38" s="13" t="s">
        <v>2</v>
      </c>
      <c r="D38" s="13" t="s">
        <v>18</v>
      </c>
      <c r="E38" s="13">
        <v>0.93</v>
      </c>
      <c r="F38" s="13">
        <f t="shared" si="1"/>
        <v>0.95</v>
      </c>
      <c r="G38" s="13">
        <v>0</v>
      </c>
      <c r="H38" s="12">
        <v>20</v>
      </c>
      <c r="I38" s="13">
        <f t="shared" si="4"/>
        <v>19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15</v>
      </c>
      <c r="T38" s="13">
        <v>0</v>
      </c>
      <c r="U38" s="13">
        <v>0</v>
      </c>
      <c r="V38" s="13">
        <v>4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</row>
    <row r="39" spans="1:59" x14ac:dyDescent="0.2">
      <c r="A39" s="13" t="s">
        <v>6</v>
      </c>
      <c r="B39" s="13">
        <v>1</v>
      </c>
      <c r="C39" s="13" t="s">
        <v>2</v>
      </c>
      <c r="D39" s="13" t="s">
        <v>37</v>
      </c>
      <c r="E39" s="13">
        <v>0.95</v>
      </c>
      <c r="F39" s="13">
        <f t="shared" si="1"/>
        <v>0.95</v>
      </c>
      <c r="G39" s="13">
        <v>0</v>
      </c>
      <c r="H39" s="12">
        <v>20</v>
      </c>
      <c r="I39" s="13">
        <f t="shared" si="4"/>
        <v>19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15</v>
      </c>
      <c r="T39" s="13">
        <v>0</v>
      </c>
      <c r="U39" s="13">
        <v>0</v>
      </c>
      <c r="V39" s="13">
        <v>3</v>
      </c>
      <c r="W39" s="13">
        <v>0</v>
      </c>
      <c r="X39" s="13">
        <v>0</v>
      </c>
      <c r="Y39" s="13">
        <v>0</v>
      </c>
      <c r="Z39" s="13">
        <v>1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</row>
    <row r="40" spans="1:59" x14ac:dyDescent="0.2">
      <c r="A40" s="13" t="s">
        <v>6</v>
      </c>
      <c r="B40" s="13">
        <v>1</v>
      </c>
      <c r="C40" s="13" t="s">
        <v>2</v>
      </c>
      <c r="D40" s="13" t="s">
        <v>38</v>
      </c>
      <c r="E40" s="13">
        <v>0.92</v>
      </c>
      <c r="F40" s="13">
        <f t="shared" si="1"/>
        <v>1</v>
      </c>
      <c r="G40" s="13">
        <v>0</v>
      </c>
      <c r="H40" s="12">
        <v>20</v>
      </c>
      <c r="I40" s="13">
        <f t="shared" si="4"/>
        <v>20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5</v>
      </c>
      <c r="Y40" s="13">
        <v>0</v>
      </c>
      <c r="Z40" s="13">
        <v>4</v>
      </c>
      <c r="AA40" s="13">
        <v>0</v>
      </c>
      <c r="AB40" s="13">
        <v>0</v>
      </c>
      <c r="AC40" s="13">
        <v>9</v>
      </c>
      <c r="AD40" s="13">
        <v>0</v>
      </c>
      <c r="AE40" s="13">
        <v>0</v>
      </c>
      <c r="AF40" s="13">
        <v>0</v>
      </c>
      <c r="AG40" s="13">
        <v>2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</row>
    <row r="41" spans="1:59" s="5" customFormat="1" x14ac:dyDescent="0.2">
      <c r="A41" s="13" t="s">
        <v>6</v>
      </c>
      <c r="B41" s="13">
        <v>1</v>
      </c>
      <c r="C41" s="13" t="s">
        <v>2</v>
      </c>
      <c r="D41" s="13" t="s">
        <v>39</v>
      </c>
      <c r="E41" s="13">
        <v>0.79</v>
      </c>
      <c r="F41" s="13">
        <f t="shared" si="1"/>
        <v>0.7</v>
      </c>
      <c r="G41" s="13">
        <v>0</v>
      </c>
      <c r="H41" s="12">
        <v>20</v>
      </c>
      <c r="I41" s="13">
        <f t="shared" si="4"/>
        <v>14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13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1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</row>
    <row r="42" spans="1:59" x14ac:dyDescent="0.2">
      <c r="A42" s="13" t="s">
        <v>6</v>
      </c>
      <c r="B42" s="13">
        <v>1</v>
      </c>
      <c r="C42" s="13" t="s">
        <v>2</v>
      </c>
      <c r="D42" s="13" t="s">
        <v>40</v>
      </c>
      <c r="E42" s="13">
        <v>0.96</v>
      </c>
      <c r="F42" s="13">
        <f t="shared" si="1"/>
        <v>1</v>
      </c>
      <c r="G42" s="13">
        <v>0</v>
      </c>
      <c r="H42" s="12">
        <v>20</v>
      </c>
      <c r="I42" s="13">
        <f t="shared" si="4"/>
        <v>20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8</v>
      </c>
      <c r="W42" s="13">
        <v>0</v>
      </c>
      <c r="X42" s="13">
        <v>8</v>
      </c>
      <c r="Y42" s="13">
        <v>0</v>
      </c>
      <c r="Z42" s="13">
        <v>2</v>
      </c>
      <c r="AA42" s="13">
        <v>0</v>
      </c>
      <c r="AB42" s="13">
        <v>0</v>
      </c>
      <c r="AC42" s="13">
        <v>2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</row>
    <row r="43" spans="1:59" x14ac:dyDescent="0.2">
      <c r="A43" s="13" t="s">
        <v>6</v>
      </c>
      <c r="B43" s="13">
        <v>1</v>
      </c>
      <c r="C43" s="13" t="s">
        <v>2</v>
      </c>
      <c r="D43" s="13" t="s">
        <v>20</v>
      </c>
      <c r="E43" s="13">
        <v>0.12</v>
      </c>
      <c r="F43" s="13">
        <f t="shared" si="1"/>
        <v>0.15</v>
      </c>
      <c r="G43" s="13">
        <v>0</v>
      </c>
      <c r="H43" s="12">
        <v>20</v>
      </c>
      <c r="I43" s="13">
        <f t="shared" si="4"/>
        <v>3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3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</row>
    <row r="44" spans="1:59" x14ac:dyDescent="0.2">
      <c r="A44" s="13" t="s">
        <v>6</v>
      </c>
      <c r="B44" s="13">
        <v>1</v>
      </c>
      <c r="C44" s="13" t="s">
        <v>2</v>
      </c>
      <c r="D44" s="13" t="s">
        <v>41</v>
      </c>
      <c r="E44" s="13">
        <v>0.78</v>
      </c>
      <c r="F44" s="13">
        <f t="shared" si="1"/>
        <v>0.65</v>
      </c>
      <c r="G44" s="13">
        <v>0</v>
      </c>
      <c r="H44" s="12">
        <v>20</v>
      </c>
      <c r="I44" s="13">
        <f t="shared" si="4"/>
        <v>13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2</v>
      </c>
      <c r="T44" s="13">
        <v>0</v>
      </c>
      <c r="U44" s="13">
        <v>0</v>
      </c>
      <c r="V44" s="13">
        <v>10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1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</row>
    <row r="45" spans="1:59" x14ac:dyDescent="0.2">
      <c r="A45" s="13" t="s">
        <v>6</v>
      </c>
      <c r="B45" s="13">
        <v>1</v>
      </c>
      <c r="C45" s="13" t="s">
        <v>2</v>
      </c>
      <c r="D45" s="13" t="s">
        <v>42</v>
      </c>
      <c r="E45" s="13">
        <v>0.79</v>
      </c>
      <c r="F45" s="13">
        <f t="shared" si="1"/>
        <v>0.8</v>
      </c>
      <c r="G45" s="13">
        <v>0</v>
      </c>
      <c r="H45" s="12">
        <v>20</v>
      </c>
      <c r="I45" s="13">
        <f t="shared" si="4"/>
        <v>16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5</v>
      </c>
      <c r="T45" s="13">
        <v>0</v>
      </c>
      <c r="U45" s="13">
        <v>0</v>
      </c>
      <c r="V45" s="13">
        <v>7</v>
      </c>
      <c r="W45" s="13">
        <v>0</v>
      </c>
      <c r="X45" s="13">
        <v>1</v>
      </c>
      <c r="Y45" s="13">
        <v>0</v>
      </c>
      <c r="Z45" s="13">
        <v>3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</row>
    <row r="46" spans="1:59" s="6" customFormat="1" x14ac:dyDescent="0.2">
      <c r="A46" s="13" t="s">
        <v>6</v>
      </c>
      <c r="B46" s="14">
        <v>1</v>
      </c>
      <c r="C46" s="13" t="s">
        <v>2</v>
      </c>
      <c r="D46" s="14" t="s">
        <v>43</v>
      </c>
      <c r="E46" s="14">
        <v>0.88</v>
      </c>
      <c r="F46" s="14">
        <f t="shared" si="1"/>
        <v>0.7</v>
      </c>
      <c r="G46" s="14">
        <v>0</v>
      </c>
      <c r="H46" s="12">
        <v>20</v>
      </c>
      <c r="I46" s="14">
        <f t="shared" si="4"/>
        <v>14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11</v>
      </c>
      <c r="W46" s="14">
        <v>0</v>
      </c>
      <c r="X46" s="14">
        <v>0</v>
      </c>
      <c r="Y46" s="14">
        <v>0</v>
      </c>
      <c r="Z46" s="14">
        <v>3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4">
        <v>0</v>
      </c>
      <c r="AH46" s="14">
        <v>0</v>
      </c>
      <c r="AI46" s="14">
        <v>0</v>
      </c>
      <c r="AJ46" s="14">
        <v>0</v>
      </c>
      <c r="AK46" s="14">
        <v>0</v>
      </c>
      <c r="AL46" s="14">
        <v>0</v>
      </c>
      <c r="AM46" s="14">
        <v>0</v>
      </c>
      <c r="AN46" s="14">
        <v>0</v>
      </c>
      <c r="AO46" s="14">
        <v>0</v>
      </c>
      <c r="AP46" s="14">
        <v>0</v>
      </c>
      <c r="AQ46" s="14">
        <v>0</v>
      </c>
      <c r="AR46" s="14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</row>
    <row r="47" spans="1:59" x14ac:dyDescent="0.2">
      <c r="A47" s="13" t="s">
        <v>7</v>
      </c>
      <c r="B47" s="13">
        <v>1</v>
      </c>
      <c r="C47" s="13" t="s">
        <v>2</v>
      </c>
      <c r="D47" s="13" t="s">
        <v>24</v>
      </c>
      <c r="E47" s="13">
        <v>0.95</v>
      </c>
      <c r="F47" s="13">
        <f t="shared" si="1"/>
        <v>0.9</v>
      </c>
      <c r="G47" s="13">
        <v>0</v>
      </c>
      <c r="H47" s="12">
        <v>20</v>
      </c>
      <c r="I47" s="13">
        <f t="shared" si="4"/>
        <v>18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9</v>
      </c>
      <c r="T47" s="13">
        <v>0</v>
      </c>
      <c r="U47" s="13">
        <v>0</v>
      </c>
      <c r="V47" s="13">
        <v>7</v>
      </c>
      <c r="W47" s="13">
        <v>0</v>
      </c>
      <c r="X47" s="13">
        <v>1</v>
      </c>
      <c r="Y47" s="13">
        <v>0</v>
      </c>
      <c r="Z47" s="13">
        <v>1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</row>
    <row r="48" spans="1:59" x14ac:dyDescent="0.2">
      <c r="A48" s="13" t="s">
        <v>7</v>
      </c>
      <c r="B48" s="13">
        <v>1</v>
      </c>
      <c r="C48" s="13" t="s">
        <v>2</v>
      </c>
      <c r="D48" s="13" t="s">
        <v>13</v>
      </c>
      <c r="E48" s="13">
        <v>0.9</v>
      </c>
      <c r="F48" s="13">
        <f t="shared" si="1"/>
        <v>0.95</v>
      </c>
      <c r="G48" s="13">
        <v>0</v>
      </c>
      <c r="H48" s="12">
        <v>20</v>
      </c>
      <c r="I48" s="13">
        <f t="shared" si="4"/>
        <v>19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1</v>
      </c>
      <c r="R48" s="13">
        <v>0</v>
      </c>
      <c r="S48" s="13">
        <v>8</v>
      </c>
      <c r="T48" s="13">
        <v>0</v>
      </c>
      <c r="U48" s="13">
        <v>0</v>
      </c>
      <c r="V48" s="13">
        <v>7</v>
      </c>
      <c r="W48" s="13">
        <v>0</v>
      </c>
      <c r="X48" s="13">
        <v>2</v>
      </c>
      <c r="Y48" s="13">
        <v>0</v>
      </c>
      <c r="Z48" s="13">
        <v>1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</row>
    <row r="49" spans="1:59" x14ac:dyDescent="0.2">
      <c r="A49" s="13" t="s">
        <v>7</v>
      </c>
      <c r="B49" s="13">
        <v>1</v>
      </c>
      <c r="C49" s="13" t="s">
        <v>2</v>
      </c>
      <c r="D49" s="13" t="s">
        <v>25</v>
      </c>
      <c r="E49" s="13">
        <v>0.67</v>
      </c>
      <c r="F49" s="13">
        <f t="shared" si="1"/>
        <v>0.85</v>
      </c>
      <c r="G49" s="13">
        <v>0</v>
      </c>
      <c r="H49" s="12">
        <v>20</v>
      </c>
      <c r="I49" s="13">
        <f t="shared" si="4"/>
        <v>17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15</v>
      </c>
      <c r="T49" s="13">
        <v>0</v>
      </c>
      <c r="U49" s="13">
        <v>0</v>
      </c>
      <c r="V49" s="13">
        <v>2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</row>
    <row r="50" spans="1:59" x14ac:dyDescent="0.2">
      <c r="A50" s="13" t="s">
        <v>7</v>
      </c>
      <c r="B50" s="13">
        <v>1</v>
      </c>
      <c r="C50" s="13" t="s">
        <v>2</v>
      </c>
      <c r="D50" s="13" t="s">
        <v>26</v>
      </c>
      <c r="E50" s="13">
        <v>0.99</v>
      </c>
      <c r="F50" s="13">
        <f t="shared" si="1"/>
        <v>1</v>
      </c>
      <c r="G50" s="13">
        <v>0</v>
      </c>
      <c r="H50" s="12">
        <v>20</v>
      </c>
      <c r="I50" s="13">
        <f t="shared" si="4"/>
        <v>20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16</v>
      </c>
      <c r="R50" s="13">
        <v>0</v>
      </c>
      <c r="S50" s="13">
        <v>3</v>
      </c>
      <c r="T50" s="13">
        <v>0</v>
      </c>
      <c r="U50" s="13">
        <v>0</v>
      </c>
      <c r="V50" s="13">
        <v>0</v>
      </c>
      <c r="W50" s="13">
        <v>0</v>
      </c>
      <c r="X50" s="13">
        <v>1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</row>
    <row r="51" spans="1:59" x14ac:dyDescent="0.2">
      <c r="A51" s="13" t="s">
        <v>7</v>
      </c>
      <c r="B51" s="13">
        <v>1</v>
      </c>
      <c r="C51" s="13" t="s">
        <v>2</v>
      </c>
      <c r="D51" s="13" t="s">
        <v>36</v>
      </c>
      <c r="E51" s="13">
        <v>0.96</v>
      </c>
      <c r="F51" s="13">
        <f t="shared" si="1"/>
        <v>0.7</v>
      </c>
      <c r="G51" s="13">
        <v>0</v>
      </c>
      <c r="H51" s="12">
        <v>20</v>
      </c>
      <c r="I51" s="13">
        <f t="shared" si="4"/>
        <v>14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1</v>
      </c>
      <c r="R51" s="13">
        <v>0</v>
      </c>
      <c r="S51" s="13">
        <v>4</v>
      </c>
      <c r="T51" s="13">
        <v>0</v>
      </c>
      <c r="U51" s="13">
        <v>0</v>
      </c>
      <c r="V51" s="13">
        <v>6</v>
      </c>
      <c r="W51" s="13">
        <v>0</v>
      </c>
      <c r="X51" s="13">
        <v>2</v>
      </c>
      <c r="Y51" s="13">
        <v>0</v>
      </c>
      <c r="Z51" s="13">
        <v>0</v>
      </c>
      <c r="AA51" s="13">
        <v>0</v>
      </c>
      <c r="AB51" s="13">
        <v>0</v>
      </c>
      <c r="AC51" s="13">
        <v>1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</row>
    <row r="52" spans="1:59" x14ac:dyDescent="0.2">
      <c r="A52" s="13" t="s">
        <v>7</v>
      </c>
      <c r="B52" s="13">
        <v>1</v>
      </c>
      <c r="C52" s="13" t="s">
        <v>2</v>
      </c>
      <c r="D52" s="13" t="s">
        <v>16</v>
      </c>
      <c r="E52" s="13">
        <v>0.78</v>
      </c>
      <c r="F52" s="13">
        <f t="shared" si="1"/>
        <v>0.85</v>
      </c>
      <c r="G52" s="13">
        <v>0</v>
      </c>
      <c r="H52" s="12">
        <v>20</v>
      </c>
      <c r="I52" s="13">
        <f t="shared" si="4"/>
        <v>17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8</v>
      </c>
      <c r="T52" s="13">
        <v>0</v>
      </c>
      <c r="U52" s="13">
        <v>0</v>
      </c>
      <c r="V52" s="13">
        <v>7</v>
      </c>
      <c r="W52" s="13">
        <v>0</v>
      </c>
      <c r="X52" s="13">
        <v>2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</row>
    <row r="53" spans="1:59" x14ac:dyDescent="0.2">
      <c r="A53" s="13" t="s">
        <v>7</v>
      </c>
      <c r="B53" s="13">
        <v>1</v>
      </c>
      <c r="C53" s="13" t="s">
        <v>2</v>
      </c>
      <c r="D53" s="13" t="s">
        <v>11</v>
      </c>
      <c r="E53" s="13">
        <v>0.75</v>
      </c>
      <c r="F53" s="13">
        <f t="shared" si="1"/>
        <v>0.75</v>
      </c>
      <c r="G53" s="13">
        <v>0</v>
      </c>
      <c r="H53" s="12">
        <v>20</v>
      </c>
      <c r="I53" s="13">
        <f t="shared" si="4"/>
        <v>15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10</v>
      </c>
      <c r="T53" s="13">
        <v>0</v>
      </c>
      <c r="U53" s="13">
        <v>0</v>
      </c>
      <c r="V53" s="13">
        <v>5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</row>
    <row r="54" spans="1:59" x14ac:dyDescent="0.2">
      <c r="A54" s="13" t="s">
        <v>7</v>
      </c>
      <c r="B54" s="13">
        <v>1</v>
      </c>
      <c r="C54" s="13" t="s">
        <v>2</v>
      </c>
      <c r="D54" s="13" t="s">
        <v>39</v>
      </c>
      <c r="E54" s="13">
        <v>0.79</v>
      </c>
      <c r="F54" s="13">
        <f t="shared" si="1"/>
        <v>0.8</v>
      </c>
      <c r="G54" s="13">
        <v>0</v>
      </c>
      <c r="H54" s="12">
        <v>20</v>
      </c>
      <c r="I54" s="13">
        <f t="shared" si="4"/>
        <v>16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3</v>
      </c>
      <c r="R54" s="13">
        <v>0</v>
      </c>
      <c r="S54" s="13">
        <v>12</v>
      </c>
      <c r="T54" s="13">
        <v>0</v>
      </c>
      <c r="U54" s="13">
        <v>0</v>
      </c>
      <c r="V54" s="13">
        <v>1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</row>
    <row r="55" spans="1:59" x14ac:dyDescent="0.2">
      <c r="A55" s="13" t="s">
        <v>7</v>
      </c>
      <c r="B55" s="13">
        <v>1</v>
      </c>
      <c r="C55" s="13" t="s">
        <v>2</v>
      </c>
      <c r="D55" s="13" t="s">
        <v>31</v>
      </c>
      <c r="E55" s="13">
        <v>0.95</v>
      </c>
      <c r="F55" s="13">
        <f t="shared" si="1"/>
        <v>0.95</v>
      </c>
      <c r="G55" s="13">
        <v>0</v>
      </c>
      <c r="H55" s="12">
        <v>20</v>
      </c>
      <c r="I55" s="13">
        <f t="shared" si="4"/>
        <v>19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5</v>
      </c>
      <c r="R55" s="13">
        <v>0</v>
      </c>
      <c r="S55" s="13">
        <v>14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</row>
    <row r="56" spans="1:59" x14ac:dyDescent="0.2">
      <c r="A56" s="13" t="s">
        <v>7</v>
      </c>
      <c r="B56" s="13">
        <v>1</v>
      </c>
      <c r="C56" s="13" t="s">
        <v>2</v>
      </c>
      <c r="D56" s="13" t="s">
        <v>32</v>
      </c>
      <c r="E56" s="13">
        <v>0.84</v>
      </c>
      <c r="F56" s="13">
        <f t="shared" si="1"/>
        <v>0.95</v>
      </c>
      <c r="G56" s="13">
        <v>0</v>
      </c>
      <c r="H56" s="12">
        <v>20</v>
      </c>
      <c r="I56" s="13">
        <f t="shared" si="4"/>
        <v>19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2</v>
      </c>
      <c r="R56" s="13">
        <v>0</v>
      </c>
      <c r="S56" s="13">
        <v>12</v>
      </c>
      <c r="T56" s="13">
        <v>0</v>
      </c>
      <c r="U56" s="13">
        <v>0</v>
      </c>
      <c r="V56" s="13">
        <v>5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</row>
    <row r="57" spans="1:59" s="5" customFormat="1" x14ac:dyDescent="0.2">
      <c r="A57" s="13" t="s">
        <v>7</v>
      </c>
      <c r="B57" s="13">
        <v>1</v>
      </c>
      <c r="C57" s="13" t="s">
        <v>2</v>
      </c>
      <c r="D57" s="13" t="s">
        <v>12</v>
      </c>
      <c r="E57" s="13">
        <v>0.74</v>
      </c>
      <c r="F57" s="13">
        <f t="shared" si="1"/>
        <v>0.65</v>
      </c>
      <c r="G57" s="13">
        <v>1</v>
      </c>
      <c r="H57" s="12">
        <v>20</v>
      </c>
      <c r="I57" s="13">
        <f t="shared" si="2"/>
        <v>12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4</v>
      </c>
      <c r="R57" s="13">
        <v>0</v>
      </c>
      <c r="S57" s="13">
        <v>6</v>
      </c>
      <c r="T57" s="13">
        <v>0</v>
      </c>
      <c r="U57" s="13">
        <v>0</v>
      </c>
      <c r="V57" s="13">
        <v>2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</row>
    <row r="58" spans="1:59" x14ac:dyDescent="0.2">
      <c r="A58" s="13" t="s">
        <v>7</v>
      </c>
      <c r="B58" s="13">
        <v>1</v>
      </c>
      <c r="C58" s="13" t="s">
        <v>2</v>
      </c>
      <c r="D58" s="13" t="s">
        <v>20</v>
      </c>
      <c r="E58" s="13">
        <v>0.12</v>
      </c>
      <c r="F58" s="13">
        <f t="shared" si="1"/>
        <v>0.7</v>
      </c>
      <c r="G58" s="13">
        <v>0</v>
      </c>
      <c r="H58" s="12">
        <v>20</v>
      </c>
      <c r="I58" s="13">
        <f t="shared" ref="I58:I77" si="5">SUM(J58:AU58)</f>
        <v>14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12</v>
      </c>
      <c r="T58" s="13">
        <v>0</v>
      </c>
      <c r="U58" s="13">
        <v>0</v>
      </c>
      <c r="V58" s="13">
        <v>2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</row>
    <row r="59" spans="1:59" x14ac:dyDescent="0.2">
      <c r="A59" s="13" t="s">
        <v>7</v>
      </c>
      <c r="B59" s="13">
        <v>1</v>
      </c>
      <c r="C59" s="13" t="s">
        <v>2</v>
      </c>
      <c r="D59" s="13" t="s">
        <v>22</v>
      </c>
      <c r="E59" s="13">
        <v>0.72</v>
      </c>
      <c r="F59" s="13">
        <f t="shared" si="1"/>
        <v>0.25</v>
      </c>
      <c r="G59" s="13">
        <v>0</v>
      </c>
      <c r="H59" s="12">
        <v>20</v>
      </c>
      <c r="I59" s="13">
        <f t="shared" si="5"/>
        <v>5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2</v>
      </c>
      <c r="R59" s="13">
        <v>0</v>
      </c>
      <c r="S59" s="13">
        <v>0</v>
      </c>
      <c r="T59" s="13">
        <v>0</v>
      </c>
      <c r="U59" s="13">
        <v>0</v>
      </c>
      <c r="V59" s="13">
        <v>3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</row>
    <row r="60" spans="1:59" x14ac:dyDescent="0.2">
      <c r="A60" s="13" t="s">
        <v>7</v>
      </c>
      <c r="B60" s="13">
        <v>1</v>
      </c>
      <c r="C60" s="13" t="s">
        <v>2</v>
      </c>
      <c r="D60" s="13" t="s">
        <v>44</v>
      </c>
      <c r="E60" s="13">
        <v>0.87</v>
      </c>
      <c r="F60" s="13">
        <f t="shared" si="1"/>
        <v>0.6</v>
      </c>
      <c r="G60" s="13">
        <v>0</v>
      </c>
      <c r="H60" s="12">
        <v>20</v>
      </c>
      <c r="I60" s="13">
        <f t="shared" si="5"/>
        <v>12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8</v>
      </c>
      <c r="R60" s="13">
        <v>0</v>
      </c>
      <c r="S60" s="13">
        <v>3</v>
      </c>
      <c r="T60" s="13">
        <v>0</v>
      </c>
      <c r="U60" s="13">
        <v>0</v>
      </c>
      <c r="V60" s="13">
        <v>1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</row>
    <row r="61" spans="1:59" s="6" customFormat="1" x14ac:dyDescent="0.2">
      <c r="A61" s="13" t="s">
        <v>7</v>
      </c>
      <c r="B61" s="14">
        <v>1</v>
      </c>
      <c r="C61" s="13" t="s">
        <v>2</v>
      </c>
      <c r="D61" s="14" t="s">
        <v>34</v>
      </c>
      <c r="E61" s="14">
        <v>0.93</v>
      </c>
      <c r="F61" s="14">
        <f t="shared" si="1"/>
        <v>1</v>
      </c>
      <c r="G61" s="14">
        <v>0</v>
      </c>
      <c r="H61" s="12">
        <v>20</v>
      </c>
      <c r="I61" s="14">
        <f t="shared" si="5"/>
        <v>20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10</v>
      </c>
      <c r="T61" s="14">
        <v>0</v>
      </c>
      <c r="U61" s="14">
        <v>0</v>
      </c>
      <c r="V61" s="14">
        <v>9</v>
      </c>
      <c r="W61" s="14">
        <v>0</v>
      </c>
      <c r="X61" s="14">
        <v>1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14">
        <v>0</v>
      </c>
      <c r="AE61" s="14">
        <v>0</v>
      </c>
      <c r="AF61" s="14">
        <v>0</v>
      </c>
      <c r="AG61" s="14">
        <v>0</v>
      </c>
      <c r="AH61" s="14">
        <v>0</v>
      </c>
      <c r="AI61" s="14">
        <v>0</v>
      </c>
      <c r="AJ61" s="14">
        <v>0</v>
      </c>
      <c r="AK61" s="14">
        <v>0</v>
      </c>
      <c r="AL61" s="14">
        <v>0</v>
      </c>
      <c r="AM61" s="14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</row>
    <row r="62" spans="1:59" x14ac:dyDescent="0.2">
      <c r="A62" s="13" t="s">
        <v>8</v>
      </c>
      <c r="B62" s="13">
        <v>1</v>
      </c>
      <c r="C62" s="13" t="s">
        <v>2</v>
      </c>
      <c r="D62" s="13" t="s">
        <v>24</v>
      </c>
      <c r="E62" s="13">
        <v>0.95</v>
      </c>
      <c r="F62" s="13">
        <f t="shared" si="1"/>
        <v>0.9</v>
      </c>
      <c r="G62" s="13">
        <v>0</v>
      </c>
      <c r="H62" s="12">
        <v>20</v>
      </c>
      <c r="I62" s="13">
        <f t="shared" si="5"/>
        <v>18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18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</row>
    <row r="63" spans="1:59" x14ac:dyDescent="0.2">
      <c r="A63" s="13" t="s">
        <v>8</v>
      </c>
      <c r="B63" s="13">
        <v>1</v>
      </c>
      <c r="C63" s="13" t="s">
        <v>2</v>
      </c>
      <c r="D63" s="13" t="s">
        <v>35</v>
      </c>
      <c r="E63" s="13">
        <v>0.79</v>
      </c>
      <c r="F63" s="13">
        <f t="shared" si="1"/>
        <v>0.8</v>
      </c>
      <c r="G63" s="13">
        <v>1</v>
      </c>
      <c r="H63" s="12">
        <v>20</v>
      </c>
      <c r="I63" s="13">
        <f t="shared" si="5"/>
        <v>15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5</v>
      </c>
      <c r="T63" s="13">
        <v>0</v>
      </c>
      <c r="U63" s="13">
        <v>0</v>
      </c>
      <c r="V63" s="13">
        <v>10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  <c r="AJ63" s="13">
        <v>0</v>
      </c>
      <c r="AK63" s="13">
        <v>0</v>
      </c>
      <c r="AL63" s="13">
        <v>0</v>
      </c>
      <c r="AM63" s="13">
        <v>0</v>
      </c>
      <c r="AN63" s="13">
        <v>0</v>
      </c>
      <c r="AO63" s="13">
        <v>0</v>
      </c>
      <c r="AP63" s="13">
        <v>0</v>
      </c>
      <c r="AQ63" s="13">
        <v>0</v>
      </c>
      <c r="AR63" s="13">
        <v>0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</row>
    <row r="64" spans="1:59" x14ac:dyDescent="0.2">
      <c r="A64" s="13" t="s">
        <v>8</v>
      </c>
      <c r="B64" s="13">
        <v>1</v>
      </c>
      <c r="C64" s="13" t="s">
        <v>2</v>
      </c>
      <c r="D64" s="13" t="s">
        <v>26</v>
      </c>
      <c r="E64" s="13">
        <v>0.99</v>
      </c>
      <c r="F64" s="13">
        <f t="shared" si="1"/>
        <v>0.95</v>
      </c>
      <c r="G64" s="13">
        <v>0</v>
      </c>
      <c r="H64" s="12">
        <v>20</v>
      </c>
      <c r="I64" s="13">
        <f t="shared" si="5"/>
        <v>19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19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v>0</v>
      </c>
      <c r="AL64" s="13">
        <v>0</v>
      </c>
      <c r="AM64" s="13">
        <v>0</v>
      </c>
      <c r="AN64" s="13">
        <v>0</v>
      </c>
      <c r="AO64" s="13">
        <v>0</v>
      </c>
      <c r="AP64" s="13">
        <v>0</v>
      </c>
      <c r="AQ64" s="13">
        <v>0</v>
      </c>
      <c r="AR64" s="13">
        <v>0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</row>
    <row r="65" spans="1:59" x14ac:dyDescent="0.2">
      <c r="A65" s="13" t="s">
        <v>8</v>
      </c>
      <c r="B65" s="13">
        <v>1</v>
      </c>
      <c r="C65" s="13" t="s">
        <v>2</v>
      </c>
      <c r="D65" s="13" t="s">
        <v>15</v>
      </c>
      <c r="E65" s="13">
        <v>0.94</v>
      </c>
      <c r="F65" s="13">
        <f t="shared" si="1"/>
        <v>1</v>
      </c>
      <c r="G65" s="13">
        <v>0</v>
      </c>
      <c r="H65" s="12">
        <v>20</v>
      </c>
      <c r="I65" s="13">
        <f t="shared" si="5"/>
        <v>20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13</v>
      </c>
      <c r="T65" s="13">
        <v>0</v>
      </c>
      <c r="U65" s="13">
        <v>0</v>
      </c>
      <c r="V65" s="13">
        <v>6</v>
      </c>
      <c r="W65" s="13">
        <v>0</v>
      </c>
      <c r="X65" s="13">
        <v>0</v>
      </c>
      <c r="Y65" s="13">
        <v>0</v>
      </c>
      <c r="Z65" s="13">
        <v>1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 s="13">
        <v>0</v>
      </c>
      <c r="AN65" s="13">
        <v>0</v>
      </c>
      <c r="AO65" s="13">
        <v>0</v>
      </c>
      <c r="AP65" s="13">
        <v>0</v>
      </c>
      <c r="AQ65" s="13">
        <v>0</v>
      </c>
      <c r="AR65" s="13">
        <v>0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</row>
    <row r="66" spans="1:59" x14ac:dyDescent="0.2">
      <c r="A66" s="13" t="s">
        <v>8</v>
      </c>
      <c r="B66" s="13">
        <v>1</v>
      </c>
      <c r="C66" s="13" t="s">
        <v>2</v>
      </c>
      <c r="D66" s="13" t="s">
        <v>36</v>
      </c>
      <c r="E66" s="13">
        <v>0.96</v>
      </c>
      <c r="F66" s="13">
        <f t="shared" si="1"/>
        <v>0.8</v>
      </c>
      <c r="G66" s="13">
        <v>0</v>
      </c>
      <c r="H66" s="12">
        <v>20</v>
      </c>
      <c r="I66" s="13">
        <f t="shared" si="5"/>
        <v>16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5</v>
      </c>
      <c r="T66" s="13">
        <v>0</v>
      </c>
      <c r="U66" s="13">
        <v>0</v>
      </c>
      <c r="V66" s="13">
        <v>9</v>
      </c>
      <c r="W66" s="13">
        <v>0</v>
      </c>
      <c r="X66" s="13">
        <v>1</v>
      </c>
      <c r="Y66" s="13">
        <v>0</v>
      </c>
      <c r="Z66" s="13">
        <v>1</v>
      </c>
      <c r="AA66" s="13">
        <v>0</v>
      </c>
      <c r="AB66" s="13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  <c r="AJ66" s="13">
        <v>0</v>
      </c>
      <c r="AK66" s="13">
        <v>0</v>
      </c>
      <c r="AL66" s="13">
        <v>0</v>
      </c>
      <c r="AM66" s="13">
        <v>0</v>
      </c>
      <c r="AN66" s="13">
        <v>0</v>
      </c>
      <c r="AO66" s="13">
        <v>0</v>
      </c>
      <c r="AP66" s="13">
        <v>0</v>
      </c>
      <c r="AQ66" s="13">
        <v>0</v>
      </c>
      <c r="AR66" s="13">
        <v>0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</row>
    <row r="67" spans="1:59" x14ac:dyDescent="0.2">
      <c r="A67" s="13" t="s">
        <v>8</v>
      </c>
      <c r="B67" s="13">
        <v>1</v>
      </c>
      <c r="C67" s="13" t="s">
        <v>2</v>
      </c>
      <c r="D67" s="13" t="s">
        <v>28</v>
      </c>
      <c r="E67" s="13">
        <v>0.91</v>
      </c>
      <c r="F67" s="13">
        <f t="shared" si="1"/>
        <v>0.85</v>
      </c>
      <c r="G67" s="13">
        <v>0</v>
      </c>
      <c r="H67" s="12">
        <v>20</v>
      </c>
      <c r="I67" s="13">
        <f t="shared" si="5"/>
        <v>17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16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1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0</v>
      </c>
      <c r="AK67" s="13">
        <v>0</v>
      </c>
      <c r="AL67" s="13">
        <v>0</v>
      </c>
      <c r="AM67" s="13">
        <v>0</v>
      </c>
      <c r="AN67" s="13">
        <v>0</v>
      </c>
      <c r="AO67" s="13">
        <v>0</v>
      </c>
      <c r="AP67" s="13">
        <v>0</v>
      </c>
      <c r="AQ67" s="13">
        <v>0</v>
      </c>
      <c r="AR67" s="13">
        <v>0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</row>
    <row r="68" spans="1:59" x14ac:dyDescent="0.2">
      <c r="A68" s="13" t="s">
        <v>8</v>
      </c>
      <c r="B68" s="13">
        <v>1</v>
      </c>
      <c r="C68" s="13" t="s">
        <v>2</v>
      </c>
      <c r="D68" s="13" t="s">
        <v>18</v>
      </c>
      <c r="E68" s="13">
        <v>0.93</v>
      </c>
      <c r="F68" s="13">
        <f t="shared" ref="F68:F91" si="6">(I68+G68)/20</f>
        <v>0.85</v>
      </c>
      <c r="G68" s="13">
        <v>0</v>
      </c>
      <c r="H68" s="12">
        <v>20</v>
      </c>
      <c r="I68" s="13">
        <f t="shared" si="5"/>
        <v>17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16</v>
      </c>
      <c r="R68" s="13">
        <v>0</v>
      </c>
      <c r="S68" s="13">
        <v>1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3">
        <v>0</v>
      </c>
      <c r="AI68" s="13">
        <v>0</v>
      </c>
      <c r="AJ68" s="13">
        <v>0</v>
      </c>
      <c r="AK68" s="13">
        <v>0</v>
      </c>
      <c r="AL68" s="13">
        <v>0</v>
      </c>
      <c r="AM68" s="13">
        <v>0</v>
      </c>
      <c r="AN68" s="13">
        <v>0</v>
      </c>
      <c r="AO68" s="13">
        <v>0</v>
      </c>
      <c r="AP68" s="13">
        <v>0</v>
      </c>
      <c r="AQ68" s="13">
        <v>0</v>
      </c>
      <c r="AR68" s="13">
        <v>0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</row>
    <row r="69" spans="1:59" x14ac:dyDescent="0.2">
      <c r="A69" s="13" t="s">
        <v>8</v>
      </c>
      <c r="B69" s="13">
        <v>1</v>
      </c>
      <c r="C69" s="13" t="s">
        <v>2</v>
      </c>
      <c r="D69" s="13" t="s">
        <v>38</v>
      </c>
      <c r="E69" s="13">
        <v>0.92</v>
      </c>
      <c r="F69" s="13">
        <f t="shared" si="6"/>
        <v>0.9</v>
      </c>
      <c r="G69" s="13">
        <v>1</v>
      </c>
      <c r="H69" s="12">
        <v>20</v>
      </c>
      <c r="I69" s="13">
        <f t="shared" si="5"/>
        <v>17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15</v>
      </c>
      <c r="W69" s="13">
        <v>0</v>
      </c>
      <c r="X69" s="13">
        <v>2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0</v>
      </c>
      <c r="AE69" s="13">
        <v>0</v>
      </c>
      <c r="AF69" s="13">
        <v>0</v>
      </c>
      <c r="AG69" s="13">
        <v>0</v>
      </c>
      <c r="AH69" s="13">
        <v>0</v>
      </c>
      <c r="AI69" s="13">
        <v>0</v>
      </c>
      <c r="AJ69" s="13">
        <v>0</v>
      </c>
      <c r="AK69" s="13">
        <v>0</v>
      </c>
      <c r="AL69" s="13">
        <v>0</v>
      </c>
      <c r="AM69" s="13">
        <v>0</v>
      </c>
      <c r="AN69" s="13">
        <v>0</v>
      </c>
      <c r="AO69" s="13">
        <v>0</v>
      </c>
      <c r="AP69" s="13">
        <v>0</v>
      </c>
      <c r="AQ69" s="13">
        <v>0</v>
      </c>
      <c r="AR69" s="13">
        <v>0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</row>
    <row r="70" spans="1:59" x14ac:dyDescent="0.2">
      <c r="A70" s="13" t="s">
        <v>8</v>
      </c>
      <c r="B70" s="13">
        <v>1</v>
      </c>
      <c r="C70" s="13" t="s">
        <v>2</v>
      </c>
      <c r="D70" s="13" t="s">
        <v>31</v>
      </c>
      <c r="E70" s="13">
        <v>0.95</v>
      </c>
      <c r="F70" s="13">
        <f t="shared" si="6"/>
        <v>1</v>
      </c>
      <c r="G70" s="13">
        <v>0</v>
      </c>
      <c r="H70" s="12">
        <v>20</v>
      </c>
      <c r="I70" s="13">
        <f t="shared" si="5"/>
        <v>20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1</v>
      </c>
      <c r="R70" s="13">
        <v>0</v>
      </c>
      <c r="S70" s="13">
        <v>19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v>0</v>
      </c>
      <c r="AL70" s="13">
        <v>0</v>
      </c>
      <c r="AM70" s="13">
        <v>0</v>
      </c>
      <c r="AN70" s="13">
        <v>0</v>
      </c>
      <c r="AO70" s="13">
        <v>0</v>
      </c>
      <c r="AP70" s="13">
        <v>0</v>
      </c>
      <c r="AQ70" s="13">
        <v>0</v>
      </c>
      <c r="AR70" s="13">
        <v>0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</row>
    <row r="71" spans="1:59" x14ac:dyDescent="0.2">
      <c r="A71" s="13" t="s">
        <v>8</v>
      </c>
      <c r="B71" s="13">
        <v>1</v>
      </c>
      <c r="C71" s="13" t="s">
        <v>2</v>
      </c>
      <c r="D71" s="13" t="s">
        <v>12</v>
      </c>
      <c r="E71" s="13">
        <v>0.84</v>
      </c>
      <c r="F71" s="13">
        <f t="shared" si="6"/>
        <v>0.65</v>
      </c>
      <c r="G71" s="13">
        <v>2</v>
      </c>
      <c r="H71" s="12">
        <v>20</v>
      </c>
      <c r="I71" s="13">
        <f t="shared" si="5"/>
        <v>11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4</v>
      </c>
      <c r="T71" s="13">
        <v>0</v>
      </c>
      <c r="U71" s="13">
        <v>0</v>
      </c>
      <c r="V71" s="13">
        <v>5</v>
      </c>
      <c r="W71" s="13">
        <v>0</v>
      </c>
      <c r="X71" s="13">
        <v>1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13">
        <v>0</v>
      </c>
      <c r="AF71" s="13">
        <v>0</v>
      </c>
      <c r="AG71" s="13">
        <v>0</v>
      </c>
      <c r="AH71" s="13">
        <v>0</v>
      </c>
      <c r="AI71" s="13">
        <v>0</v>
      </c>
      <c r="AJ71" s="13">
        <v>0</v>
      </c>
      <c r="AK71" s="13">
        <v>0</v>
      </c>
      <c r="AL71" s="13">
        <v>1</v>
      </c>
      <c r="AM71" s="13">
        <v>0</v>
      </c>
      <c r="AN71" s="13">
        <v>0</v>
      </c>
      <c r="AO71" s="13">
        <v>0</v>
      </c>
      <c r="AP71" s="13">
        <v>0</v>
      </c>
      <c r="AQ71" s="13">
        <v>0</v>
      </c>
      <c r="AR71" s="13">
        <v>0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</row>
    <row r="72" spans="1:59" x14ac:dyDescent="0.2">
      <c r="A72" s="13" t="s">
        <v>8</v>
      </c>
      <c r="B72" s="13">
        <v>1</v>
      </c>
      <c r="C72" s="13" t="s">
        <v>2</v>
      </c>
      <c r="D72" s="13" t="s">
        <v>42</v>
      </c>
      <c r="E72" s="13">
        <v>0.79</v>
      </c>
      <c r="F72" s="13">
        <f t="shared" si="6"/>
        <v>0.65</v>
      </c>
      <c r="G72" s="13">
        <v>0</v>
      </c>
      <c r="H72" s="12">
        <v>20</v>
      </c>
      <c r="I72" s="13">
        <f t="shared" si="5"/>
        <v>13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2</v>
      </c>
      <c r="R72" s="13">
        <v>0</v>
      </c>
      <c r="S72" s="13">
        <v>9</v>
      </c>
      <c r="T72" s="13">
        <v>0</v>
      </c>
      <c r="U72" s="13">
        <v>0</v>
      </c>
      <c r="V72" s="13">
        <v>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>
        <v>0</v>
      </c>
      <c r="AJ72" s="13">
        <v>0</v>
      </c>
      <c r="AK72" s="13">
        <v>0</v>
      </c>
      <c r="AL72" s="13">
        <v>0</v>
      </c>
      <c r="AM72" s="13">
        <v>0</v>
      </c>
      <c r="AN72" s="13">
        <v>0</v>
      </c>
      <c r="AO72" s="13">
        <v>0</v>
      </c>
      <c r="AP72" s="13">
        <v>0</v>
      </c>
      <c r="AQ72" s="13">
        <v>0</v>
      </c>
      <c r="AR72" s="13">
        <v>0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</row>
    <row r="73" spans="1:59" x14ac:dyDescent="0.2">
      <c r="A73" s="13" t="s">
        <v>8</v>
      </c>
      <c r="B73" s="13">
        <v>1</v>
      </c>
      <c r="C73" s="13" t="s">
        <v>2</v>
      </c>
      <c r="D73" s="13" t="s">
        <v>21</v>
      </c>
      <c r="E73" s="13">
        <v>0.85</v>
      </c>
      <c r="F73" s="13">
        <f t="shared" si="6"/>
        <v>0.95</v>
      </c>
      <c r="G73" s="13">
        <v>0</v>
      </c>
      <c r="H73" s="12">
        <v>20</v>
      </c>
      <c r="I73" s="13">
        <f t="shared" si="5"/>
        <v>19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5</v>
      </c>
      <c r="R73" s="13">
        <v>0</v>
      </c>
      <c r="S73" s="13">
        <v>13</v>
      </c>
      <c r="T73" s="13">
        <v>0</v>
      </c>
      <c r="U73" s="13">
        <v>0</v>
      </c>
      <c r="V73" s="13">
        <v>1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13">
        <v>0</v>
      </c>
      <c r="AF73" s="13">
        <v>0</v>
      </c>
      <c r="AG73" s="13">
        <v>0</v>
      </c>
      <c r="AH73" s="13">
        <v>0</v>
      </c>
      <c r="AI73" s="13">
        <v>0</v>
      </c>
      <c r="AJ73" s="13">
        <v>0</v>
      </c>
      <c r="AK73" s="13">
        <v>0</v>
      </c>
      <c r="AL73" s="13">
        <v>0</v>
      </c>
      <c r="AM73" s="13">
        <v>0</v>
      </c>
      <c r="AN73" s="13">
        <v>0</v>
      </c>
      <c r="AO73" s="13">
        <v>0</v>
      </c>
      <c r="AP73" s="13">
        <v>0</v>
      </c>
      <c r="AQ73" s="13">
        <v>0</v>
      </c>
      <c r="AR73" s="13">
        <v>0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</row>
    <row r="74" spans="1:59" x14ac:dyDescent="0.2">
      <c r="A74" s="13" t="s">
        <v>8</v>
      </c>
      <c r="B74" s="13">
        <v>1</v>
      </c>
      <c r="C74" s="13" t="s">
        <v>2</v>
      </c>
      <c r="D74" s="13" t="s">
        <v>33</v>
      </c>
      <c r="E74" s="13">
        <v>0.97</v>
      </c>
      <c r="F74" s="13">
        <f t="shared" si="6"/>
        <v>1</v>
      </c>
      <c r="G74" s="13">
        <v>0</v>
      </c>
      <c r="H74" s="12">
        <v>20</v>
      </c>
      <c r="I74" s="13">
        <f t="shared" si="5"/>
        <v>20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2</v>
      </c>
      <c r="R74" s="13">
        <v>0</v>
      </c>
      <c r="S74" s="13">
        <v>10</v>
      </c>
      <c r="T74" s="13">
        <v>0</v>
      </c>
      <c r="U74" s="13">
        <v>0</v>
      </c>
      <c r="V74" s="13">
        <v>8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0</v>
      </c>
      <c r="AE74" s="13">
        <v>0</v>
      </c>
      <c r="AF74" s="13">
        <v>0</v>
      </c>
      <c r="AG74" s="13">
        <v>0</v>
      </c>
      <c r="AH74" s="13">
        <v>0</v>
      </c>
      <c r="AI74" s="13">
        <v>0</v>
      </c>
      <c r="AJ74" s="13">
        <v>0</v>
      </c>
      <c r="AK74" s="13">
        <v>0</v>
      </c>
      <c r="AL74" s="13">
        <v>0</v>
      </c>
      <c r="AM74" s="13">
        <v>0</v>
      </c>
      <c r="AN74" s="13">
        <v>0</v>
      </c>
      <c r="AO74" s="13">
        <v>0</v>
      </c>
      <c r="AP74" s="13">
        <v>0</v>
      </c>
      <c r="AQ74" s="13">
        <v>0</v>
      </c>
      <c r="AR74" s="13">
        <v>0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</row>
    <row r="75" spans="1:59" x14ac:dyDescent="0.2">
      <c r="A75" s="13" t="s">
        <v>8</v>
      </c>
      <c r="B75" s="13">
        <v>1</v>
      </c>
      <c r="C75" s="13" t="s">
        <v>2</v>
      </c>
      <c r="D75" s="13" t="s">
        <v>34</v>
      </c>
      <c r="E75" s="13">
        <v>0.93</v>
      </c>
      <c r="F75" s="13">
        <f t="shared" si="6"/>
        <v>0.8</v>
      </c>
      <c r="G75" s="13">
        <v>0</v>
      </c>
      <c r="H75" s="12">
        <v>20</v>
      </c>
      <c r="I75" s="13">
        <f t="shared" si="5"/>
        <v>16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2</v>
      </c>
      <c r="R75" s="13">
        <v>0</v>
      </c>
      <c r="S75" s="13">
        <v>6</v>
      </c>
      <c r="T75" s="13">
        <v>0</v>
      </c>
      <c r="U75" s="13">
        <v>0</v>
      </c>
      <c r="V75" s="13">
        <v>8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13">
        <v>0</v>
      </c>
      <c r="AF75" s="13">
        <v>0</v>
      </c>
      <c r="AG75" s="13">
        <v>0</v>
      </c>
      <c r="AH75" s="13">
        <v>0</v>
      </c>
      <c r="AI75" s="13">
        <v>0</v>
      </c>
      <c r="AJ75" s="13">
        <v>0</v>
      </c>
      <c r="AK75" s="13">
        <v>0</v>
      </c>
      <c r="AL75" s="13">
        <v>0</v>
      </c>
      <c r="AM75" s="13">
        <v>0</v>
      </c>
      <c r="AN75" s="13">
        <v>0</v>
      </c>
      <c r="AO75" s="13">
        <v>0</v>
      </c>
      <c r="AP75" s="13">
        <v>0</v>
      </c>
      <c r="AQ75" s="13">
        <v>0</v>
      </c>
      <c r="AR75" s="13">
        <v>0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</row>
    <row r="76" spans="1:59" s="6" customFormat="1" x14ac:dyDescent="0.2">
      <c r="A76" s="13" t="s">
        <v>8</v>
      </c>
      <c r="B76" s="14">
        <v>1</v>
      </c>
      <c r="C76" s="13" t="s">
        <v>2</v>
      </c>
      <c r="D76" s="14" t="s">
        <v>43</v>
      </c>
      <c r="E76" s="14">
        <v>0.88</v>
      </c>
      <c r="F76" s="14">
        <f t="shared" si="6"/>
        <v>0.8</v>
      </c>
      <c r="G76" s="14">
        <v>0</v>
      </c>
      <c r="H76" s="12">
        <v>20</v>
      </c>
      <c r="I76" s="14">
        <f t="shared" si="5"/>
        <v>16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11</v>
      </c>
      <c r="T76" s="14">
        <v>0</v>
      </c>
      <c r="U76" s="14">
        <v>0</v>
      </c>
      <c r="V76" s="14">
        <v>3</v>
      </c>
      <c r="W76" s="14">
        <v>0</v>
      </c>
      <c r="X76" s="14">
        <v>2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>
        <v>0</v>
      </c>
      <c r="AH76" s="14">
        <v>0</v>
      </c>
      <c r="AI76" s="14">
        <v>0</v>
      </c>
      <c r="AJ76" s="14">
        <v>0</v>
      </c>
      <c r="AK76" s="14">
        <v>0</v>
      </c>
      <c r="AL76" s="14">
        <v>0</v>
      </c>
      <c r="AM76" s="14">
        <v>0</v>
      </c>
      <c r="AN76" s="14">
        <v>0</v>
      </c>
      <c r="AO76" s="14">
        <v>0</v>
      </c>
      <c r="AP76" s="14">
        <v>0</v>
      </c>
      <c r="AQ76" s="14">
        <v>0</v>
      </c>
      <c r="AR76" s="14">
        <v>0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</row>
    <row r="77" spans="1:59" x14ac:dyDescent="0.2">
      <c r="A77" s="13" t="s">
        <v>9</v>
      </c>
      <c r="B77" s="13">
        <v>1</v>
      </c>
      <c r="C77" s="13" t="s">
        <v>2</v>
      </c>
      <c r="D77" s="13" t="s">
        <v>45</v>
      </c>
      <c r="E77" s="13">
        <v>0.92</v>
      </c>
      <c r="F77" s="13">
        <f t="shared" si="6"/>
        <v>0.9</v>
      </c>
      <c r="G77" s="13">
        <v>1</v>
      </c>
      <c r="H77" s="12">
        <v>20</v>
      </c>
      <c r="I77" s="13">
        <f t="shared" si="5"/>
        <v>17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14</v>
      </c>
      <c r="W77" s="13">
        <v>0</v>
      </c>
      <c r="X77" s="13">
        <v>2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1</v>
      </c>
      <c r="AI77" s="13">
        <v>0</v>
      </c>
      <c r="AJ77" s="13">
        <v>0</v>
      </c>
      <c r="AK77" s="13">
        <v>0</v>
      </c>
      <c r="AL77" s="13">
        <v>0</v>
      </c>
      <c r="AM77" s="13">
        <v>0</v>
      </c>
      <c r="AN77" s="13">
        <v>0</v>
      </c>
      <c r="AO77" s="13">
        <v>0</v>
      </c>
      <c r="AP77" s="13">
        <v>0</v>
      </c>
      <c r="AQ77" s="13">
        <v>0</v>
      </c>
      <c r="AR77" s="13">
        <v>0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</row>
    <row r="78" spans="1:59" s="5" customFormat="1" x14ac:dyDescent="0.2">
      <c r="A78" s="13" t="s">
        <v>9</v>
      </c>
      <c r="B78" s="13">
        <v>1</v>
      </c>
      <c r="C78" s="13" t="s">
        <v>2</v>
      </c>
      <c r="D78" s="13" t="s">
        <v>23</v>
      </c>
      <c r="E78" s="13">
        <v>1</v>
      </c>
      <c r="F78" s="13">
        <f t="shared" si="6"/>
        <v>0.9</v>
      </c>
      <c r="G78" s="13">
        <v>0</v>
      </c>
      <c r="H78" s="12">
        <v>20</v>
      </c>
      <c r="I78" s="13">
        <f t="shared" ref="I78" si="7">SUM(J78:AV78)</f>
        <v>18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1</v>
      </c>
      <c r="T78" s="13">
        <v>0</v>
      </c>
      <c r="U78" s="13">
        <v>0</v>
      </c>
      <c r="V78" s="13">
        <v>13</v>
      </c>
      <c r="W78" s="13">
        <v>0</v>
      </c>
      <c r="X78" s="13">
        <v>1</v>
      </c>
      <c r="Y78" s="13">
        <v>0</v>
      </c>
      <c r="Z78" s="13">
        <v>1</v>
      </c>
      <c r="AA78" s="13">
        <v>0</v>
      </c>
      <c r="AB78" s="13">
        <v>0</v>
      </c>
      <c r="AC78" s="13">
        <v>0</v>
      </c>
      <c r="AD78" s="13">
        <v>0</v>
      </c>
      <c r="AE78" s="13">
        <v>0</v>
      </c>
      <c r="AF78" s="13">
        <v>0</v>
      </c>
      <c r="AG78" s="13">
        <v>0</v>
      </c>
      <c r="AH78" s="13">
        <v>0</v>
      </c>
      <c r="AI78" s="13">
        <v>0</v>
      </c>
      <c r="AJ78" s="13">
        <v>1</v>
      </c>
      <c r="AK78" s="13">
        <v>0</v>
      </c>
      <c r="AL78" s="13">
        <v>0</v>
      </c>
      <c r="AM78" s="13">
        <v>0</v>
      </c>
      <c r="AN78" s="13">
        <v>0</v>
      </c>
      <c r="AO78" s="13">
        <v>0</v>
      </c>
      <c r="AP78" s="13">
        <v>0</v>
      </c>
      <c r="AQ78" s="13">
        <v>0</v>
      </c>
      <c r="AR78" s="13">
        <v>0</v>
      </c>
      <c r="AS78" s="13">
        <v>0</v>
      </c>
      <c r="AT78" s="13">
        <v>0</v>
      </c>
      <c r="AU78" s="13">
        <v>0</v>
      </c>
      <c r="AV78" s="13">
        <v>1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</row>
    <row r="79" spans="1:59" x14ac:dyDescent="0.2">
      <c r="A79" s="13" t="s">
        <v>9</v>
      </c>
      <c r="B79" s="13">
        <v>1</v>
      </c>
      <c r="C79" s="13" t="s">
        <v>2</v>
      </c>
      <c r="D79" s="13" t="s">
        <v>25</v>
      </c>
      <c r="E79" s="13">
        <v>0.67</v>
      </c>
      <c r="F79" s="13">
        <f t="shared" si="6"/>
        <v>0.7</v>
      </c>
      <c r="G79" s="13">
        <v>0</v>
      </c>
      <c r="H79" s="12">
        <v>20</v>
      </c>
      <c r="I79" s="13">
        <f t="shared" ref="I79:I91" si="8">SUM(J79:AU79)</f>
        <v>14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9</v>
      </c>
      <c r="W79" s="13">
        <v>0</v>
      </c>
      <c r="X79" s="13">
        <v>0</v>
      </c>
      <c r="Y79" s="13">
        <v>0</v>
      </c>
      <c r="Z79" s="13">
        <v>5</v>
      </c>
      <c r="AA79" s="13">
        <v>0</v>
      </c>
      <c r="AB79" s="13">
        <v>0</v>
      </c>
      <c r="AC79" s="13">
        <v>0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0</v>
      </c>
      <c r="AK79" s="13">
        <v>0</v>
      </c>
      <c r="AL79" s="13">
        <v>0</v>
      </c>
      <c r="AM79" s="13">
        <v>0</v>
      </c>
      <c r="AN79" s="13">
        <v>0</v>
      </c>
      <c r="AO79" s="13">
        <v>0</v>
      </c>
      <c r="AP79" s="13">
        <v>0</v>
      </c>
      <c r="AQ79" s="13">
        <v>0</v>
      </c>
      <c r="AR79" s="13">
        <v>0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</row>
    <row r="80" spans="1:59" x14ac:dyDescent="0.2">
      <c r="A80" s="13" t="s">
        <v>9</v>
      </c>
      <c r="B80" s="13">
        <v>1</v>
      </c>
      <c r="C80" s="13" t="s">
        <v>2</v>
      </c>
      <c r="D80" s="13" t="s">
        <v>27</v>
      </c>
      <c r="E80" s="13">
        <v>0.89</v>
      </c>
      <c r="F80" s="13">
        <f t="shared" si="6"/>
        <v>0.9</v>
      </c>
      <c r="G80" s="13">
        <v>0</v>
      </c>
      <c r="H80" s="12">
        <v>20</v>
      </c>
      <c r="I80" s="13">
        <f t="shared" si="8"/>
        <v>18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9</v>
      </c>
      <c r="W80" s="13">
        <v>0</v>
      </c>
      <c r="X80" s="13">
        <v>7</v>
      </c>
      <c r="Y80" s="13">
        <v>0</v>
      </c>
      <c r="Z80" s="13">
        <v>1</v>
      </c>
      <c r="AA80" s="13">
        <v>0</v>
      </c>
      <c r="AB80" s="13">
        <v>0</v>
      </c>
      <c r="AC80" s="13">
        <v>1</v>
      </c>
      <c r="AD80" s="13">
        <v>0</v>
      </c>
      <c r="AE80" s="13">
        <v>0</v>
      </c>
      <c r="AF80" s="13">
        <v>0</v>
      </c>
      <c r="AG80" s="13">
        <v>0</v>
      </c>
      <c r="AH80" s="13">
        <v>0</v>
      </c>
      <c r="AI80" s="13">
        <v>0</v>
      </c>
      <c r="AJ80" s="13">
        <v>0</v>
      </c>
      <c r="AK80" s="13">
        <v>0</v>
      </c>
      <c r="AL80" s="13">
        <v>0</v>
      </c>
      <c r="AM80" s="13">
        <v>0</v>
      </c>
      <c r="AN80" s="13">
        <v>0</v>
      </c>
      <c r="AO80" s="13">
        <v>0</v>
      </c>
      <c r="AP80" s="13">
        <v>0</v>
      </c>
      <c r="AQ80" s="13">
        <v>0</v>
      </c>
      <c r="AR80" s="13">
        <v>0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</row>
    <row r="81" spans="1:59" x14ac:dyDescent="0.2">
      <c r="A81" s="13" t="s">
        <v>9</v>
      </c>
      <c r="B81" s="13">
        <v>1</v>
      </c>
      <c r="C81" s="13" t="s">
        <v>2</v>
      </c>
      <c r="D81" s="13" t="s">
        <v>16</v>
      </c>
      <c r="E81" s="13">
        <v>0.78</v>
      </c>
      <c r="F81" s="13">
        <f t="shared" si="6"/>
        <v>0.85</v>
      </c>
      <c r="G81" s="13">
        <v>0</v>
      </c>
      <c r="H81" s="12">
        <v>20</v>
      </c>
      <c r="I81" s="13">
        <f t="shared" si="8"/>
        <v>17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12</v>
      </c>
      <c r="Y81" s="13">
        <v>0</v>
      </c>
      <c r="Z81" s="13">
        <v>3</v>
      </c>
      <c r="AA81" s="13">
        <v>0</v>
      </c>
      <c r="AB81" s="13">
        <v>0</v>
      </c>
      <c r="AC81" s="13">
        <v>1</v>
      </c>
      <c r="AD81" s="13">
        <v>0</v>
      </c>
      <c r="AE81" s="13">
        <v>0</v>
      </c>
      <c r="AF81" s="13">
        <v>0</v>
      </c>
      <c r="AG81" s="13">
        <v>1</v>
      </c>
      <c r="AH81" s="13">
        <v>0</v>
      </c>
      <c r="AI81" s="13">
        <v>0</v>
      </c>
      <c r="AJ81" s="13">
        <v>0</v>
      </c>
      <c r="AK81" s="13">
        <v>0</v>
      </c>
      <c r="AL81" s="13">
        <v>0</v>
      </c>
      <c r="AM81" s="13">
        <v>0</v>
      </c>
      <c r="AN81" s="13">
        <v>0</v>
      </c>
      <c r="AO81" s="13">
        <v>0</v>
      </c>
      <c r="AP81" s="13">
        <v>0</v>
      </c>
      <c r="AQ81" s="13">
        <v>0</v>
      </c>
      <c r="AR81" s="13">
        <v>0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</row>
    <row r="82" spans="1:59" x14ac:dyDescent="0.2">
      <c r="A82" s="13" t="s">
        <v>9</v>
      </c>
      <c r="B82" s="13">
        <v>1</v>
      </c>
      <c r="C82" s="13" t="s">
        <v>2</v>
      </c>
      <c r="D82" s="13" t="s">
        <v>28</v>
      </c>
      <c r="E82" s="13">
        <v>0.91</v>
      </c>
      <c r="F82" s="13">
        <f t="shared" si="6"/>
        <v>0.95</v>
      </c>
      <c r="G82" s="13">
        <v>0</v>
      </c>
      <c r="H82" s="12">
        <v>20</v>
      </c>
      <c r="I82" s="13">
        <f t="shared" si="8"/>
        <v>19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7</v>
      </c>
      <c r="T82" s="13">
        <v>0</v>
      </c>
      <c r="U82" s="13">
        <v>0</v>
      </c>
      <c r="V82" s="13">
        <v>11</v>
      </c>
      <c r="W82" s="13">
        <v>0</v>
      </c>
      <c r="X82" s="13">
        <v>1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13">
        <v>0</v>
      </c>
      <c r="AF82" s="13">
        <v>0</v>
      </c>
      <c r="AG82" s="13">
        <v>0</v>
      </c>
      <c r="AH82" s="13">
        <v>0</v>
      </c>
      <c r="AI82" s="13">
        <v>0</v>
      </c>
      <c r="AJ82" s="13">
        <v>0</v>
      </c>
      <c r="AK82" s="13">
        <v>0</v>
      </c>
      <c r="AL82" s="13">
        <v>0</v>
      </c>
      <c r="AM82" s="13">
        <v>0</v>
      </c>
      <c r="AN82" s="13">
        <v>0</v>
      </c>
      <c r="AO82" s="13">
        <v>0</v>
      </c>
      <c r="AP82" s="13">
        <v>0</v>
      </c>
      <c r="AQ82" s="13">
        <v>0</v>
      </c>
      <c r="AR82" s="13">
        <v>0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</row>
    <row r="83" spans="1:59" x14ac:dyDescent="0.2">
      <c r="A83" s="13" t="s">
        <v>9</v>
      </c>
      <c r="B83" s="13">
        <v>1</v>
      </c>
      <c r="C83" s="13" t="s">
        <v>2</v>
      </c>
      <c r="D83" s="13" t="s">
        <v>17</v>
      </c>
      <c r="E83" s="13">
        <v>0.95</v>
      </c>
      <c r="F83" s="13">
        <f t="shared" si="6"/>
        <v>0.95</v>
      </c>
      <c r="G83" s="13">
        <v>0</v>
      </c>
      <c r="H83" s="12">
        <v>20</v>
      </c>
      <c r="I83" s="13">
        <f t="shared" si="8"/>
        <v>19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5</v>
      </c>
      <c r="T83" s="13">
        <v>0</v>
      </c>
      <c r="U83" s="13">
        <v>0</v>
      </c>
      <c r="V83" s="13">
        <v>14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13">
        <v>0</v>
      </c>
      <c r="AF83" s="13">
        <v>0</v>
      </c>
      <c r="AG83" s="13">
        <v>0</v>
      </c>
      <c r="AH83" s="13">
        <v>0</v>
      </c>
      <c r="AI83" s="13">
        <v>0</v>
      </c>
      <c r="AJ83" s="13">
        <v>0</v>
      </c>
      <c r="AK83" s="13">
        <v>0</v>
      </c>
      <c r="AL83" s="13">
        <v>0</v>
      </c>
      <c r="AM83" s="13">
        <v>0</v>
      </c>
      <c r="AN83" s="13">
        <v>0</v>
      </c>
      <c r="AO83" s="13">
        <v>0</v>
      </c>
      <c r="AP83" s="13">
        <v>0</v>
      </c>
      <c r="AQ83" s="13">
        <v>0</v>
      </c>
      <c r="AR83" s="13">
        <v>0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</row>
    <row r="84" spans="1:59" x14ac:dyDescent="0.2">
      <c r="A84" s="13" t="s">
        <v>9</v>
      </c>
      <c r="B84" s="13">
        <v>1</v>
      </c>
      <c r="C84" s="13" t="s">
        <v>2</v>
      </c>
      <c r="D84" s="13" t="s">
        <v>37</v>
      </c>
      <c r="E84" s="13">
        <v>0.95</v>
      </c>
      <c r="F84" s="13">
        <f t="shared" si="6"/>
        <v>0.95</v>
      </c>
      <c r="G84" s="13">
        <v>0</v>
      </c>
      <c r="H84" s="12">
        <v>20</v>
      </c>
      <c r="I84" s="13">
        <f t="shared" si="8"/>
        <v>19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2</v>
      </c>
      <c r="T84" s="13">
        <v>0</v>
      </c>
      <c r="U84" s="13">
        <v>0</v>
      </c>
      <c r="V84" s="13">
        <v>17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13">
        <v>0</v>
      </c>
      <c r="AF84" s="13">
        <v>0</v>
      </c>
      <c r="AG84" s="13">
        <v>0</v>
      </c>
      <c r="AH84" s="13">
        <v>0</v>
      </c>
      <c r="AI84" s="13">
        <v>0</v>
      </c>
      <c r="AJ84" s="13">
        <v>0</v>
      </c>
      <c r="AK84" s="13">
        <v>0</v>
      </c>
      <c r="AL84" s="13">
        <v>0</v>
      </c>
      <c r="AM84" s="13">
        <v>0</v>
      </c>
      <c r="AN84" s="13">
        <v>0</v>
      </c>
      <c r="AO84" s="13">
        <v>0</v>
      </c>
      <c r="AP84" s="13">
        <v>0</v>
      </c>
      <c r="AQ84" s="13">
        <v>0</v>
      </c>
      <c r="AR84" s="13">
        <v>0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</row>
    <row r="85" spans="1:59" x14ac:dyDescent="0.2">
      <c r="A85" s="13" t="s">
        <v>9</v>
      </c>
      <c r="B85" s="13">
        <v>1</v>
      </c>
      <c r="C85" s="13" t="s">
        <v>2</v>
      </c>
      <c r="D85" s="13" t="s">
        <v>11</v>
      </c>
      <c r="E85" s="13">
        <v>0.75</v>
      </c>
      <c r="F85" s="13">
        <f t="shared" si="6"/>
        <v>0.75</v>
      </c>
      <c r="G85" s="13">
        <v>1</v>
      </c>
      <c r="H85" s="12">
        <v>20</v>
      </c>
      <c r="I85" s="13">
        <f t="shared" si="8"/>
        <v>14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10</v>
      </c>
      <c r="W85" s="13">
        <v>0</v>
      </c>
      <c r="X85" s="13">
        <v>0</v>
      </c>
      <c r="Y85" s="13">
        <v>0</v>
      </c>
      <c r="Z85" s="13">
        <v>3</v>
      </c>
      <c r="AA85" s="13">
        <v>0</v>
      </c>
      <c r="AB85" s="13">
        <v>0</v>
      </c>
      <c r="AC85" s="13">
        <v>1</v>
      </c>
      <c r="AD85" s="13">
        <v>0</v>
      </c>
      <c r="AE85" s="13">
        <v>0</v>
      </c>
      <c r="AF85" s="13">
        <v>0</v>
      </c>
      <c r="AG85" s="13">
        <v>0</v>
      </c>
      <c r="AH85" s="13">
        <v>0</v>
      </c>
      <c r="AI85" s="13">
        <v>0</v>
      </c>
      <c r="AJ85" s="13">
        <v>0</v>
      </c>
      <c r="AK85" s="13">
        <v>0</v>
      </c>
      <c r="AL85" s="13">
        <v>0</v>
      </c>
      <c r="AM85" s="13">
        <v>0</v>
      </c>
      <c r="AN85" s="13">
        <v>0</v>
      </c>
      <c r="AO85" s="13">
        <v>0</v>
      </c>
      <c r="AP85" s="13">
        <v>0</v>
      </c>
      <c r="AQ85" s="13">
        <v>0</v>
      </c>
      <c r="AR85" s="13">
        <v>0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</row>
    <row r="86" spans="1:59" x14ac:dyDescent="0.2">
      <c r="A86" s="13" t="s">
        <v>9</v>
      </c>
      <c r="B86" s="13">
        <v>1</v>
      </c>
      <c r="C86" s="13" t="s">
        <v>2</v>
      </c>
      <c r="D86" s="13" t="s">
        <v>32</v>
      </c>
      <c r="E86" s="13">
        <v>0.84</v>
      </c>
      <c r="F86" s="13">
        <f t="shared" si="6"/>
        <v>0.9</v>
      </c>
      <c r="G86" s="13">
        <v>1</v>
      </c>
      <c r="H86" s="12">
        <v>20</v>
      </c>
      <c r="I86" s="13">
        <f t="shared" si="8"/>
        <v>17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12</v>
      </c>
      <c r="W86" s="13">
        <v>0</v>
      </c>
      <c r="X86" s="13">
        <v>4</v>
      </c>
      <c r="Y86" s="13">
        <v>0</v>
      </c>
      <c r="Z86" s="13">
        <v>1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</v>
      </c>
      <c r="AT86" s="13">
        <v>0</v>
      </c>
      <c r="AU86" s="13">
        <v>0</v>
      </c>
      <c r="AV86" s="13">
        <v>0</v>
      </c>
      <c r="AW86" s="13">
        <v>0</v>
      </c>
      <c r="AX86" s="13">
        <v>0</v>
      </c>
      <c r="AY86" s="13">
        <v>0</v>
      </c>
      <c r="AZ86" s="13">
        <v>0</v>
      </c>
      <c r="BA86" s="13">
        <v>0</v>
      </c>
      <c r="BB86" s="13">
        <v>0</v>
      </c>
      <c r="BC86" s="13">
        <v>0</v>
      </c>
      <c r="BD86" s="13">
        <v>0</v>
      </c>
      <c r="BE86" s="13">
        <v>0</v>
      </c>
      <c r="BF86" s="13">
        <v>0</v>
      </c>
      <c r="BG86" s="13">
        <v>0</v>
      </c>
    </row>
    <row r="87" spans="1:59" x14ac:dyDescent="0.2">
      <c r="A87" s="13" t="s">
        <v>9</v>
      </c>
      <c r="B87" s="13">
        <v>1</v>
      </c>
      <c r="C87" s="13" t="s">
        <v>2</v>
      </c>
      <c r="D87" s="13" t="s">
        <v>40</v>
      </c>
      <c r="E87" s="13">
        <v>0.96</v>
      </c>
      <c r="F87" s="13">
        <f t="shared" si="6"/>
        <v>0.9</v>
      </c>
      <c r="G87" s="13">
        <v>0</v>
      </c>
      <c r="H87" s="12">
        <v>20</v>
      </c>
      <c r="I87" s="13">
        <f t="shared" si="8"/>
        <v>18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6</v>
      </c>
      <c r="W87" s="13">
        <v>0</v>
      </c>
      <c r="X87" s="13">
        <v>6</v>
      </c>
      <c r="Y87" s="13">
        <v>0</v>
      </c>
      <c r="Z87" s="13">
        <v>5</v>
      </c>
      <c r="AA87" s="13">
        <v>0</v>
      </c>
      <c r="AB87" s="13">
        <v>0</v>
      </c>
      <c r="AC87" s="13">
        <v>1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</v>
      </c>
      <c r="AT87" s="13">
        <v>0</v>
      </c>
      <c r="AU87" s="13">
        <v>0</v>
      </c>
      <c r="AV87" s="13">
        <v>0</v>
      </c>
      <c r="AW87" s="13">
        <v>0</v>
      </c>
      <c r="AX87" s="13">
        <v>0</v>
      </c>
      <c r="AY87" s="13">
        <v>0</v>
      </c>
      <c r="AZ87" s="13">
        <v>0</v>
      </c>
      <c r="BA87" s="13">
        <v>0</v>
      </c>
      <c r="BB87" s="13">
        <v>0</v>
      </c>
      <c r="BC87" s="13">
        <v>0</v>
      </c>
      <c r="BD87" s="13">
        <v>0</v>
      </c>
      <c r="BE87" s="13">
        <v>0</v>
      </c>
      <c r="BF87" s="13">
        <v>0</v>
      </c>
      <c r="BG87" s="13">
        <v>0</v>
      </c>
    </row>
    <row r="88" spans="1:59" x14ac:dyDescent="0.2">
      <c r="A88" s="13" t="s">
        <v>9</v>
      </c>
      <c r="B88" s="13">
        <v>1</v>
      </c>
      <c r="C88" s="13" t="s">
        <v>2</v>
      </c>
      <c r="D88" s="13" t="s">
        <v>46</v>
      </c>
      <c r="E88" s="13">
        <v>0.73</v>
      </c>
      <c r="F88" s="13">
        <f t="shared" si="6"/>
        <v>0.85</v>
      </c>
      <c r="G88" s="13">
        <v>0</v>
      </c>
      <c r="H88" s="12">
        <v>20</v>
      </c>
      <c r="I88" s="13">
        <f t="shared" si="8"/>
        <v>17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15</v>
      </c>
      <c r="W88" s="13">
        <v>0</v>
      </c>
      <c r="X88" s="13">
        <v>2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0</v>
      </c>
      <c r="AT88" s="13">
        <v>0</v>
      </c>
      <c r="AU88" s="13">
        <v>0</v>
      </c>
      <c r="AV88" s="13">
        <v>0</v>
      </c>
      <c r="AW88" s="13">
        <v>0</v>
      </c>
      <c r="AX88" s="13">
        <v>0</v>
      </c>
      <c r="AY88" s="13">
        <v>0</v>
      </c>
      <c r="AZ88" s="13">
        <v>0</v>
      </c>
      <c r="BA88" s="13">
        <v>0</v>
      </c>
      <c r="BB88" s="13">
        <v>0</v>
      </c>
      <c r="BC88" s="13">
        <v>0</v>
      </c>
      <c r="BD88" s="13">
        <v>0</v>
      </c>
      <c r="BE88" s="13">
        <v>0</v>
      </c>
      <c r="BF88" s="13">
        <v>0</v>
      </c>
      <c r="BG88" s="13">
        <v>0</v>
      </c>
    </row>
    <row r="89" spans="1:59" x14ac:dyDescent="0.2">
      <c r="A89" s="13" t="s">
        <v>9</v>
      </c>
      <c r="B89" s="13">
        <v>1</v>
      </c>
      <c r="C89" s="13" t="s">
        <v>2</v>
      </c>
      <c r="D89" s="13" t="s">
        <v>22</v>
      </c>
      <c r="E89" s="13">
        <v>0.72</v>
      </c>
      <c r="F89" s="13">
        <f t="shared" si="6"/>
        <v>0.75</v>
      </c>
      <c r="G89" s="13">
        <v>0</v>
      </c>
      <c r="H89" s="12">
        <v>20</v>
      </c>
      <c r="I89" s="13">
        <f t="shared" si="8"/>
        <v>15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15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0</v>
      </c>
      <c r="AT89" s="13">
        <v>0</v>
      </c>
      <c r="AU89" s="13">
        <v>0</v>
      </c>
      <c r="AV89" s="13">
        <v>0</v>
      </c>
      <c r="AW89" s="13">
        <v>0</v>
      </c>
      <c r="AX89" s="13">
        <v>0</v>
      </c>
      <c r="AY89" s="13">
        <v>0</v>
      </c>
      <c r="AZ89" s="13">
        <v>0</v>
      </c>
      <c r="BA89" s="13">
        <v>0</v>
      </c>
      <c r="BB89" s="13">
        <v>0</v>
      </c>
      <c r="BC89" s="13">
        <v>0</v>
      </c>
      <c r="BD89" s="13">
        <v>0</v>
      </c>
      <c r="BE89" s="13">
        <v>0</v>
      </c>
      <c r="BF89" s="13">
        <v>0</v>
      </c>
      <c r="BG89" s="13">
        <v>0</v>
      </c>
    </row>
    <row r="90" spans="1:59" x14ac:dyDescent="0.2">
      <c r="A90" s="13" t="s">
        <v>9</v>
      </c>
      <c r="B90" s="13">
        <v>1</v>
      </c>
      <c r="C90" s="13" t="s">
        <v>2</v>
      </c>
      <c r="D90" s="13" t="s">
        <v>33</v>
      </c>
      <c r="E90" s="13">
        <v>0.97</v>
      </c>
      <c r="F90" s="13">
        <f t="shared" si="6"/>
        <v>0.85</v>
      </c>
      <c r="G90" s="13">
        <v>0</v>
      </c>
      <c r="H90" s="12">
        <v>20</v>
      </c>
      <c r="I90" s="13">
        <f t="shared" si="8"/>
        <v>17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16</v>
      </c>
      <c r="W90" s="13">
        <v>0</v>
      </c>
      <c r="X90" s="13">
        <v>1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</v>
      </c>
      <c r="AT90" s="13">
        <v>0</v>
      </c>
      <c r="AU90" s="13">
        <v>0</v>
      </c>
      <c r="AV90" s="13">
        <v>0</v>
      </c>
      <c r="AW90" s="13">
        <v>0</v>
      </c>
      <c r="AX90" s="13">
        <v>0</v>
      </c>
      <c r="AY90" s="13">
        <v>0</v>
      </c>
      <c r="AZ90" s="13">
        <v>0</v>
      </c>
      <c r="BA90" s="13">
        <v>0</v>
      </c>
      <c r="BB90" s="13">
        <v>0</v>
      </c>
      <c r="BC90" s="13">
        <v>0</v>
      </c>
      <c r="BD90" s="13">
        <v>0</v>
      </c>
      <c r="BE90" s="13">
        <v>0</v>
      </c>
      <c r="BF90" s="13">
        <v>0</v>
      </c>
      <c r="BG90" s="13">
        <v>0</v>
      </c>
    </row>
    <row r="91" spans="1:59" x14ac:dyDescent="0.2">
      <c r="A91" s="13" t="s">
        <v>9</v>
      </c>
      <c r="B91" s="13">
        <v>1</v>
      </c>
      <c r="C91" s="13" t="s">
        <v>2</v>
      </c>
      <c r="D91" s="13" t="s">
        <v>44</v>
      </c>
      <c r="E91" s="13">
        <v>0.87</v>
      </c>
      <c r="F91" s="13">
        <f t="shared" si="6"/>
        <v>0</v>
      </c>
      <c r="G91" s="13">
        <v>0</v>
      </c>
      <c r="H91" s="12">
        <v>20</v>
      </c>
      <c r="I91" s="13">
        <f t="shared" si="8"/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0</v>
      </c>
      <c r="AT91" s="13">
        <v>0</v>
      </c>
      <c r="AU91" s="13">
        <v>0</v>
      </c>
      <c r="AV91" s="13">
        <v>0</v>
      </c>
      <c r="AW91" s="13">
        <v>0</v>
      </c>
      <c r="AX91" s="13">
        <v>0</v>
      </c>
      <c r="AY91" s="13">
        <v>0</v>
      </c>
      <c r="AZ91" s="13">
        <v>0</v>
      </c>
      <c r="BA91" s="13">
        <v>0</v>
      </c>
      <c r="BB91" s="13">
        <v>0</v>
      </c>
      <c r="BC91" s="13">
        <v>0</v>
      </c>
      <c r="BD91" s="13">
        <v>0</v>
      </c>
      <c r="BE91" s="13">
        <v>0</v>
      </c>
      <c r="BF91" s="13">
        <v>0</v>
      </c>
      <c r="BG91" s="1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A1477-8FF1-4817-AABD-0828C8B7D2FB}">
  <dimension ref="A1:BH91"/>
  <sheetViews>
    <sheetView tabSelected="1" zoomScaleNormal="100" workbookViewId="0">
      <selection activeCell="AE84" sqref="A1:BG91"/>
    </sheetView>
  </sheetViews>
  <sheetFormatPr baseColWidth="10" defaultColWidth="8.83203125" defaultRowHeight="15" x14ac:dyDescent="0.2"/>
  <cols>
    <col min="1" max="1" width="11.1640625" bestFit="1" customWidth="1"/>
    <col min="3" max="3" width="13.6640625" bestFit="1" customWidth="1"/>
    <col min="9" max="9" width="12" customWidth="1"/>
    <col min="10" max="25" width="9.1640625" customWidth="1"/>
    <col min="29" max="29" width="9.1640625"/>
    <col min="30" max="30" width="8.83203125" style="8"/>
    <col min="32" max="32" width="8.83203125" style="4"/>
    <col min="37" max="37" width="8.83203125" style="7"/>
    <col min="39" max="39" width="8.83203125" style="9"/>
  </cols>
  <sheetData>
    <row r="1" spans="1:60" s="1" customFormat="1" ht="64" x14ac:dyDescent="0.2">
      <c r="A1" s="10" t="s">
        <v>1</v>
      </c>
      <c r="B1" s="10" t="s">
        <v>4</v>
      </c>
      <c r="C1" s="10" t="s">
        <v>0</v>
      </c>
      <c r="D1" s="10" t="s">
        <v>122</v>
      </c>
      <c r="E1" s="11" t="s">
        <v>164</v>
      </c>
      <c r="F1" s="11" t="s">
        <v>162</v>
      </c>
      <c r="G1" s="11" t="s">
        <v>121</v>
      </c>
      <c r="H1" s="11" t="s">
        <v>176</v>
      </c>
      <c r="I1" s="11" t="s">
        <v>120</v>
      </c>
      <c r="J1" s="10" t="s">
        <v>123</v>
      </c>
      <c r="K1" s="10" t="s">
        <v>124</v>
      </c>
      <c r="L1" s="10" t="s">
        <v>125</v>
      </c>
      <c r="M1" s="10" t="s">
        <v>126</v>
      </c>
      <c r="N1" s="10" t="s">
        <v>127</v>
      </c>
      <c r="O1" s="10" t="s">
        <v>128</v>
      </c>
      <c r="P1" s="10" t="s">
        <v>129</v>
      </c>
      <c r="Q1" s="10" t="s">
        <v>130</v>
      </c>
      <c r="R1" s="10" t="s">
        <v>133</v>
      </c>
      <c r="S1" s="10" t="s">
        <v>131</v>
      </c>
      <c r="T1" s="10" t="s">
        <v>132</v>
      </c>
      <c r="U1" s="10" t="s">
        <v>134</v>
      </c>
      <c r="V1" s="10" t="s">
        <v>135</v>
      </c>
      <c r="W1" s="10" t="s">
        <v>136</v>
      </c>
      <c r="X1" s="10" t="s">
        <v>137</v>
      </c>
      <c r="Y1" s="10" t="s">
        <v>138</v>
      </c>
      <c r="Z1" s="10" t="s">
        <v>139</v>
      </c>
      <c r="AA1" s="10" t="s">
        <v>140</v>
      </c>
      <c r="AB1" s="10" t="s">
        <v>141</v>
      </c>
      <c r="AC1" s="10" t="s">
        <v>142</v>
      </c>
      <c r="AD1" s="10" t="s">
        <v>143</v>
      </c>
      <c r="AE1" s="10" t="s">
        <v>144</v>
      </c>
      <c r="AF1" s="10" t="s">
        <v>145</v>
      </c>
      <c r="AG1" s="10" t="s">
        <v>146</v>
      </c>
      <c r="AH1" s="10" t="s">
        <v>147</v>
      </c>
      <c r="AI1" s="10" t="s">
        <v>148</v>
      </c>
      <c r="AJ1" s="10" t="s">
        <v>149</v>
      </c>
      <c r="AK1" s="10" t="s">
        <v>150</v>
      </c>
      <c r="AL1" s="10" t="s">
        <v>151</v>
      </c>
      <c r="AM1" s="10" t="s">
        <v>152</v>
      </c>
      <c r="AN1" s="10" t="s">
        <v>153</v>
      </c>
      <c r="AO1" s="10" t="s">
        <v>154</v>
      </c>
      <c r="AP1" s="10" t="s">
        <v>155</v>
      </c>
      <c r="AQ1" s="10" t="s">
        <v>156</v>
      </c>
      <c r="AR1" s="10" t="s">
        <v>157</v>
      </c>
      <c r="AS1" s="10" t="s">
        <v>158</v>
      </c>
      <c r="AT1" s="10" t="s">
        <v>159</v>
      </c>
      <c r="AU1" s="10" t="s">
        <v>160</v>
      </c>
      <c r="AV1" s="10" t="s">
        <v>161</v>
      </c>
      <c r="AW1" s="10" t="s">
        <v>165</v>
      </c>
      <c r="AX1" s="10" t="s">
        <v>166</v>
      </c>
      <c r="AY1" s="10" t="s">
        <v>167</v>
      </c>
      <c r="AZ1" s="10" t="s">
        <v>168</v>
      </c>
      <c r="BA1" s="10" t="s">
        <v>169</v>
      </c>
      <c r="BB1" s="10" t="s">
        <v>170</v>
      </c>
      <c r="BC1" s="10" t="s">
        <v>171</v>
      </c>
      <c r="BD1" s="10" t="s">
        <v>172</v>
      </c>
      <c r="BE1" s="10" t="s">
        <v>173</v>
      </c>
      <c r="BF1" s="10" t="s">
        <v>174</v>
      </c>
      <c r="BG1" s="10" t="s">
        <v>175</v>
      </c>
    </row>
    <row r="2" spans="1:60" s="2" customFormat="1" x14ac:dyDescent="0.2">
      <c r="A2" s="12" t="s">
        <v>3</v>
      </c>
      <c r="B2" s="12">
        <v>1</v>
      </c>
      <c r="C2" s="12" t="s">
        <v>47</v>
      </c>
      <c r="D2" s="12" t="s">
        <v>49</v>
      </c>
      <c r="E2" s="12">
        <v>0.86</v>
      </c>
      <c r="F2" s="12">
        <f>(I2+G2)/20</f>
        <v>0.65</v>
      </c>
      <c r="G2" s="12">
        <v>0</v>
      </c>
      <c r="H2" s="12">
        <v>20</v>
      </c>
      <c r="I2" s="12">
        <f t="shared" ref="I2:I33" si="0">SUM(J2:AM2)</f>
        <v>13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0</v>
      </c>
      <c r="P2" s="12">
        <v>0</v>
      </c>
      <c r="Q2" s="12">
        <v>10</v>
      </c>
      <c r="R2" s="12">
        <v>0</v>
      </c>
      <c r="S2" s="12">
        <v>2</v>
      </c>
      <c r="T2" s="12">
        <v>0</v>
      </c>
      <c r="U2" s="12">
        <v>0</v>
      </c>
      <c r="V2" s="12">
        <v>0</v>
      </c>
      <c r="W2" s="12">
        <v>0</v>
      </c>
      <c r="X2" s="12">
        <v>1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12">
        <v>0</v>
      </c>
      <c r="AF2" s="12">
        <v>0</v>
      </c>
      <c r="AG2" s="12">
        <v>0</v>
      </c>
      <c r="AH2" s="12">
        <v>0</v>
      </c>
      <c r="AI2" s="12">
        <v>0</v>
      </c>
      <c r="AJ2" s="12">
        <v>0</v>
      </c>
      <c r="AK2" s="12">
        <v>0</v>
      </c>
      <c r="AL2" s="12">
        <v>0</v>
      </c>
      <c r="AM2" s="12">
        <v>0</v>
      </c>
      <c r="AN2" s="12">
        <v>0</v>
      </c>
      <c r="AO2" s="12">
        <v>0</v>
      </c>
      <c r="AP2" s="12">
        <v>0</v>
      </c>
      <c r="AQ2" s="12">
        <v>0</v>
      </c>
      <c r="AR2" s="12">
        <v>0</v>
      </c>
      <c r="AS2" s="12">
        <v>0</v>
      </c>
      <c r="AT2" s="12">
        <v>0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0</v>
      </c>
      <c r="BA2" s="12">
        <v>0</v>
      </c>
      <c r="BB2" s="12">
        <v>0</v>
      </c>
      <c r="BC2" s="12">
        <v>0</v>
      </c>
      <c r="BD2" s="12">
        <v>0</v>
      </c>
      <c r="BE2" s="12">
        <v>0</v>
      </c>
      <c r="BF2" s="12">
        <v>0</v>
      </c>
      <c r="BG2" s="12">
        <v>0</v>
      </c>
    </row>
    <row r="3" spans="1:60" x14ac:dyDescent="0.2">
      <c r="A3" s="12" t="s">
        <v>3</v>
      </c>
      <c r="B3" s="13">
        <v>1</v>
      </c>
      <c r="C3" s="12" t="s">
        <v>47</v>
      </c>
      <c r="D3" s="13" t="s">
        <v>50</v>
      </c>
      <c r="E3" s="13">
        <v>0.93</v>
      </c>
      <c r="F3" s="13">
        <f>(I3+G3)/20</f>
        <v>1</v>
      </c>
      <c r="G3" s="13">
        <v>0</v>
      </c>
      <c r="H3" s="12">
        <v>20</v>
      </c>
      <c r="I3" s="13">
        <f t="shared" si="0"/>
        <v>20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10</v>
      </c>
      <c r="P3" s="13">
        <v>0</v>
      </c>
      <c r="Q3" s="13">
        <v>10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0</v>
      </c>
      <c r="BE3" s="12">
        <v>0</v>
      </c>
      <c r="BF3" s="12">
        <v>0</v>
      </c>
      <c r="BG3" s="12">
        <v>0</v>
      </c>
      <c r="BH3" s="2"/>
    </row>
    <row r="4" spans="1:60" x14ac:dyDescent="0.2">
      <c r="A4" s="12" t="s">
        <v>3</v>
      </c>
      <c r="B4" s="13">
        <v>1</v>
      </c>
      <c r="C4" s="12" t="s">
        <v>47</v>
      </c>
      <c r="D4" s="13" t="s">
        <v>51</v>
      </c>
      <c r="E4" s="13">
        <v>0.66</v>
      </c>
      <c r="F4" s="13">
        <f t="shared" ref="F4:F67" si="1">(I4+G4)/20</f>
        <v>0.8</v>
      </c>
      <c r="G4" s="13">
        <v>0</v>
      </c>
      <c r="H4" s="12">
        <v>20</v>
      </c>
      <c r="I4" s="13">
        <f t="shared" si="0"/>
        <v>16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6</v>
      </c>
      <c r="P4" s="13">
        <v>0</v>
      </c>
      <c r="Q4" s="13">
        <v>10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2"/>
    </row>
    <row r="5" spans="1:60" x14ac:dyDescent="0.2">
      <c r="A5" s="12" t="s">
        <v>3</v>
      </c>
      <c r="B5" s="13">
        <v>1</v>
      </c>
      <c r="C5" s="12" t="s">
        <v>47</v>
      </c>
      <c r="D5" s="13" t="s">
        <v>52</v>
      </c>
      <c r="E5" s="13">
        <v>0.41</v>
      </c>
      <c r="F5" s="13">
        <f t="shared" si="1"/>
        <v>0.35</v>
      </c>
      <c r="G5" s="13">
        <v>0</v>
      </c>
      <c r="H5" s="12">
        <v>20</v>
      </c>
      <c r="I5" s="13">
        <f t="shared" si="0"/>
        <v>7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2</v>
      </c>
      <c r="P5" s="13">
        <v>0</v>
      </c>
      <c r="Q5" s="13">
        <v>5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2"/>
    </row>
    <row r="6" spans="1:60" x14ac:dyDescent="0.2">
      <c r="A6" s="12" t="s">
        <v>3</v>
      </c>
      <c r="B6" s="13">
        <v>1</v>
      </c>
      <c r="C6" s="12" t="s">
        <v>47</v>
      </c>
      <c r="D6" s="13" t="s">
        <v>53</v>
      </c>
      <c r="E6" s="13">
        <v>0.85</v>
      </c>
      <c r="F6" s="13">
        <f t="shared" si="1"/>
        <v>0.65</v>
      </c>
      <c r="G6" s="13">
        <v>1</v>
      </c>
      <c r="H6" s="12">
        <v>20</v>
      </c>
      <c r="I6" s="13">
        <f t="shared" si="0"/>
        <v>12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11</v>
      </c>
      <c r="R6" s="13">
        <v>0</v>
      </c>
      <c r="S6" s="13">
        <v>0</v>
      </c>
      <c r="T6" s="13">
        <v>0</v>
      </c>
      <c r="U6" s="13">
        <v>0</v>
      </c>
      <c r="V6" s="13">
        <v>1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2"/>
    </row>
    <row r="7" spans="1:60" x14ac:dyDescent="0.2">
      <c r="A7" s="12" t="s">
        <v>3</v>
      </c>
      <c r="B7" s="13">
        <v>1</v>
      </c>
      <c r="C7" s="12" t="s">
        <v>47</v>
      </c>
      <c r="D7" s="13" t="s">
        <v>54</v>
      </c>
      <c r="E7" s="13">
        <v>0.89</v>
      </c>
      <c r="F7" s="13">
        <f t="shared" si="1"/>
        <v>0.95</v>
      </c>
      <c r="G7" s="13">
        <v>0</v>
      </c>
      <c r="H7" s="12">
        <v>20</v>
      </c>
      <c r="I7" s="13">
        <f t="shared" si="0"/>
        <v>19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2</v>
      </c>
      <c r="P7" s="13">
        <v>0</v>
      </c>
      <c r="Q7" s="13">
        <v>17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2"/>
    </row>
    <row r="8" spans="1:60" x14ac:dyDescent="0.2">
      <c r="A8" s="12" t="s">
        <v>3</v>
      </c>
      <c r="B8" s="13">
        <v>1</v>
      </c>
      <c r="C8" s="12" t="s">
        <v>47</v>
      </c>
      <c r="D8" s="13" t="s">
        <v>55</v>
      </c>
      <c r="E8" s="13">
        <v>0.8</v>
      </c>
      <c r="F8" s="13">
        <f t="shared" si="1"/>
        <v>0.75</v>
      </c>
      <c r="G8" s="13">
        <v>0</v>
      </c>
      <c r="H8" s="12">
        <v>20</v>
      </c>
      <c r="I8" s="13">
        <f t="shared" si="0"/>
        <v>15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13</v>
      </c>
      <c r="R8" s="13">
        <v>0</v>
      </c>
      <c r="S8" s="13">
        <v>2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12">
        <v>0</v>
      </c>
      <c r="BG8" s="12">
        <v>0</v>
      </c>
      <c r="BH8" s="2"/>
    </row>
    <row r="9" spans="1:60" x14ac:dyDescent="0.2">
      <c r="A9" s="12" t="s">
        <v>3</v>
      </c>
      <c r="B9" s="13">
        <v>1</v>
      </c>
      <c r="C9" s="12" t="s">
        <v>47</v>
      </c>
      <c r="D9" s="13" t="s">
        <v>56</v>
      </c>
      <c r="E9" s="13">
        <v>0.89</v>
      </c>
      <c r="F9" s="13">
        <f t="shared" si="1"/>
        <v>0.95</v>
      </c>
      <c r="G9" s="13">
        <v>0</v>
      </c>
      <c r="H9" s="12">
        <v>20</v>
      </c>
      <c r="I9" s="13">
        <f t="shared" si="0"/>
        <v>19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5</v>
      </c>
      <c r="P9" s="13">
        <v>0</v>
      </c>
      <c r="Q9" s="13">
        <v>13</v>
      </c>
      <c r="R9" s="13">
        <v>0</v>
      </c>
      <c r="S9" s="13">
        <v>1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2"/>
    </row>
    <row r="10" spans="1:60" x14ac:dyDescent="0.2">
      <c r="A10" s="12" t="s">
        <v>3</v>
      </c>
      <c r="B10" s="13">
        <v>1</v>
      </c>
      <c r="C10" s="12" t="s">
        <v>47</v>
      </c>
      <c r="D10" s="13" t="s">
        <v>57</v>
      </c>
      <c r="E10" s="13">
        <v>0.9</v>
      </c>
      <c r="F10" s="13">
        <f t="shared" si="1"/>
        <v>1</v>
      </c>
      <c r="G10" s="13">
        <v>0</v>
      </c>
      <c r="H10" s="12">
        <v>20</v>
      </c>
      <c r="I10" s="13">
        <f t="shared" si="0"/>
        <v>20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4</v>
      </c>
      <c r="P10" s="13">
        <v>0</v>
      </c>
      <c r="Q10" s="13">
        <v>16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2"/>
    </row>
    <row r="11" spans="1:60" x14ac:dyDescent="0.2">
      <c r="A11" s="12" t="s">
        <v>3</v>
      </c>
      <c r="B11" s="13">
        <v>1</v>
      </c>
      <c r="C11" s="12" t="s">
        <v>47</v>
      </c>
      <c r="D11" s="13" t="s">
        <v>58</v>
      </c>
      <c r="E11" s="13">
        <v>0.68</v>
      </c>
      <c r="F11" s="13">
        <f t="shared" si="1"/>
        <v>0.6</v>
      </c>
      <c r="G11" s="13">
        <v>0</v>
      </c>
      <c r="H11" s="12">
        <v>20</v>
      </c>
      <c r="I11" s="13">
        <f t="shared" si="0"/>
        <v>12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7</v>
      </c>
      <c r="R11" s="13">
        <v>0</v>
      </c>
      <c r="S11" s="13">
        <v>4</v>
      </c>
      <c r="T11" s="13">
        <v>0</v>
      </c>
      <c r="U11" s="13">
        <v>0</v>
      </c>
      <c r="V11" s="13">
        <v>1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0</v>
      </c>
      <c r="BB11" s="12">
        <v>0</v>
      </c>
      <c r="BC11" s="12">
        <v>0</v>
      </c>
      <c r="BD11" s="12">
        <v>0</v>
      </c>
      <c r="BE11" s="12">
        <v>0</v>
      </c>
      <c r="BF11" s="12">
        <v>0</v>
      </c>
      <c r="BG11" s="12">
        <v>0</v>
      </c>
      <c r="BH11" s="2"/>
    </row>
    <row r="12" spans="1:60" x14ac:dyDescent="0.2">
      <c r="A12" s="12" t="s">
        <v>3</v>
      </c>
      <c r="B12" s="13">
        <v>1</v>
      </c>
      <c r="C12" s="12" t="s">
        <v>47</v>
      </c>
      <c r="D12" s="13" t="s">
        <v>59</v>
      </c>
      <c r="E12" s="13">
        <v>0.91</v>
      </c>
      <c r="F12" s="13">
        <f t="shared" si="1"/>
        <v>0.9</v>
      </c>
      <c r="G12" s="13">
        <v>0</v>
      </c>
      <c r="H12" s="12">
        <v>20</v>
      </c>
      <c r="I12" s="13">
        <f t="shared" si="0"/>
        <v>18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5</v>
      </c>
      <c r="P12" s="13">
        <v>0</v>
      </c>
      <c r="Q12" s="13">
        <v>11</v>
      </c>
      <c r="R12" s="13">
        <v>0</v>
      </c>
      <c r="S12" s="13">
        <v>2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2"/>
    </row>
    <row r="13" spans="1:60" x14ac:dyDescent="0.2">
      <c r="A13" s="12" t="s">
        <v>3</v>
      </c>
      <c r="B13" s="13">
        <v>1</v>
      </c>
      <c r="C13" s="12" t="s">
        <v>47</v>
      </c>
      <c r="D13" s="13" t="s">
        <v>60</v>
      </c>
      <c r="E13" s="13">
        <v>0.97</v>
      </c>
      <c r="F13" s="13">
        <f t="shared" si="1"/>
        <v>0.95</v>
      </c>
      <c r="G13" s="13">
        <v>0</v>
      </c>
      <c r="H13" s="12">
        <v>20</v>
      </c>
      <c r="I13" s="13">
        <f t="shared" si="0"/>
        <v>19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6</v>
      </c>
      <c r="P13" s="13">
        <v>0</v>
      </c>
      <c r="Q13" s="13">
        <v>12</v>
      </c>
      <c r="R13" s="13">
        <v>0</v>
      </c>
      <c r="S13" s="13">
        <v>0</v>
      </c>
      <c r="T13" s="13">
        <v>0</v>
      </c>
      <c r="U13" s="13">
        <v>0</v>
      </c>
      <c r="V13" s="13">
        <v>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2"/>
    </row>
    <row r="14" spans="1:60" x14ac:dyDescent="0.2">
      <c r="A14" s="12" t="s">
        <v>3</v>
      </c>
      <c r="B14" s="13">
        <v>1</v>
      </c>
      <c r="C14" s="12" t="s">
        <v>47</v>
      </c>
      <c r="D14" s="13" t="s">
        <v>61</v>
      </c>
      <c r="E14" s="13">
        <v>0.4</v>
      </c>
      <c r="F14" s="13">
        <f t="shared" si="1"/>
        <v>0.15</v>
      </c>
      <c r="G14" s="13">
        <v>0</v>
      </c>
      <c r="H14" s="12">
        <v>20</v>
      </c>
      <c r="I14" s="13">
        <f t="shared" si="0"/>
        <v>3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3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2"/>
    </row>
    <row r="15" spans="1:60" x14ac:dyDescent="0.2">
      <c r="A15" s="12" t="s">
        <v>3</v>
      </c>
      <c r="B15" s="13">
        <v>1</v>
      </c>
      <c r="C15" s="12" t="s">
        <v>47</v>
      </c>
      <c r="D15" s="13" t="s">
        <v>62</v>
      </c>
      <c r="E15" s="13">
        <v>0.77</v>
      </c>
      <c r="F15" s="13">
        <f t="shared" si="1"/>
        <v>0.65</v>
      </c>
      <c r="G15" s="13">
        <v>0</v>
      </c>
      <c r="H15" s="12">
        <v>20</v>
      </c>
      <c r="I15" s="13">
        <f t="shared" si="0"/>
        <v>13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6</v>
      </c>
      <c r="P15" s="13">
        <v>0</v>
      </c>
      <c r="Q15" s="13">
        <v>7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2"/>
    </row>
    <row r="16" spans="1:60" s="6" customFormat="1" x14ac:dyDescent="0.2">
      <c r="A16" s="12" t="s">
        <v>3</v>
      </c>
      <c r="B16" s="14">
        <v>1</v>
      </c>
      <c r="C16" s="12" t="s">
        <v>47</v>
      </c>
      <c r="D16" s="14" t="s">
        <v>63</v>
      </c>
      <c r="E16" s="14">
        <v>0.33</v>
      </c>
      <c r="F16" s="14">
        <f t="shared" si="1"/>
        <v>0.5</v>
      </c>
      <c r="G16" s="14">
        <v>0</v>
      </c>
      <c r="H16" s="12">
        <v>20</v>
      </c>
      <c r="I16" s="14">
        <f t="shared" si="0"/>
        <v>10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6</v>
      </c>
      <c r="R16" s="14">
        <v>0</v>
      </c>
      <c r="S16" s="14">
        <v>1</v>
      </c>
      <c r="T16" s="14">
        <v>0</v>
      </c>
      <c r="U16" s="14">
        <v>0</v>
      </c>
      <c r="V16" s="14">
        <v>0</v>
      </c>
      <c r="W16" s="14">
        <v>0</v>
      </c>
      <c r="X16" s="14">
        <v>3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2"/>
    </row>
    <row r="17" spans="1:60" x14ac:dyDescent="0.2">
      <c r="A17" s="13" t="s">
        <v>5</v>
      </c>
      <c r="B17" s="13">
        <v>1</v>
      </c>
      <c r="C17" s="12" t="s">
        <v>47</v>
      </c>
      <c r="D17" s="13" t="s">
        <v>49</v>
      </c>
      <c r="E17" s="13">
        <v>0.86</v>
      </c>
      <c r="F17" s="13">
        <f t="shared" si="1"/>
        <v>0.75</v>
      </c>
      <c r="G17" s="13">
        <v>0</v>
      </c>
      <c r="H17" s="12">
        <v>20</v>
      </c>
      <c r="I17" s="13">
        <f t="shared" si="0"/>
        <v>15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12</v>
      </c>
      <c r="R17" s="13">
        <v>0</v>
      </c>
      <c r="S17" s="13">
        <v>2</v>
      </c>
      <c r="T17" s="13">
        <v>0</v>
      </c>
      <c r="U17" s="13">
        <v>0</v>
      </c>
      <c r="V17" s="13">
        <v>1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2"/>
    </row>
    <row r="18" spans="1:60" x14ac:dyDescent="0.2">
      <c r="A18" s="13" t="s">
        <v>5</v>
      </c>
      <c r="B18" s="13">
        <v>1</v>
      </c>
      <c r="C18" s="12" t="s">
        <v>47</v>
      </c>
      <c r="D18" s="13" t="s">
        <v>64</v>
      </c>
      <c r="E18" s="13">
        <v>0.93</v>
      </c>
      <c r="F18" s="13">
        <f t="shared" si="1"/>
        <v>1</v>
      </c>
      <c r="G18" s="13">
        <v>0</v>
      </c>
      <c r="H18" s="12">
        <v>20</v>
      </c>
      <c r="I18" s="13">
        <f t="shared" si="0"/>
        <v>20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17</v>
      </c>
      <c r="R18" s="13">
        <v>0</v>
      </c>
      <c r="S18" s="13">
        <v>3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2"/>
    </row>
    <row r="19" spans="1:60" x14ac:dyDescent="0.2">
      <c r="A19" s="13" t="s">
        <v>5</v>
      </c>
      <c r="B19" s="13">
        <v>1</v>
      </c>
      <c r="C19" s="12" t="s">
        <v>47</v>
      </c>
      <c r="D19" s="13" t="s">
        <v>53</v>
      </c>
      <c r="E19" s="13">
        <v>0.85</v>
      </c>
      <c r="F19" s="13">
        <f t="shared" si="1"/>
        <v>0.8</v>
      </c>
      <c r="G19" s="13">
        <v>1</v>
      </c>
      <c r="H19" s="12">
        <v>20</v>
      </c>
      <c r="I19" s="13">
        <f t="shared" si="0"/>
        <v>15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14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1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2"/>
    </row>
    <row r="20" spans="1:60" x14ac:dyDescent="0.2">
      <c r="A20" s="13" t="s">
        <v>5</v>
      </c>
      <c r="B20" s="13">
        <v>1</v>
      </c>
      <c r="C20" s="12" t="s">
        <v>47</v>
      </c>
      <c r="D20" s="13" t="s">
        <v>88</v>
      </c>
      <c r="E20" s="13">
        <v>0.87</v>
      </c>
      <c r="F20" s="13">
        <f t="shared" si="1"/>
        <v>0.9</v>
      </c>
      <c r="G20" s="13">
        <v>0</v>
      </c>
      <c r="H20" s="12">
        <v>20</v>
      </c>
      <c r="I20" s="13">
        <f t="shared" si="0"/>
        <v>18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13</v>
      </c>
      <c r="R20" s="13">
        <v>0</v>
      </c>
      <c r="S20" s="13">
        <v>4</v>
      </c>
      <c r="T20" s="13">
        <v>0</v>
      </c>
      <c r="U20" s="13">
        <v>0</v>
      </c>
      <c r="V20" s="13">
        <v>1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2"/>
    </row>
    <row r="21" spans="1:60" x14ac:dyDescent="0.2">
      <c r="A21" s="13" t="s">
        <v>5</v>
      </c>
      <c r="B21" s="13">
        <v>1</v>
      </c>
      <c r="C21" s="12" t="s">
        <v>47</v>
      </c>
      <c r="D21" s="13" t="s">
        <v>65</v>
      </c>
      <c r="E21" s="13">
        <v>0.83</v>
      </c>
      <c r="F21" s="13">
        <f t="shared" si="1"/>
        <v>0.8</v>
      </c>
      <c r="G21" s="13">
        <v>1</v>
      </c>
      <c r="H21" s="12">
        <v>20</v>
      </c>
      <c r="I21" s="13">
        <f t="shared" si="0"/>
        <v>15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15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2"/>
    </row>
    <row r="22" spans="1:60" x14ac:dyDescent="0.2">
      <c r="A22" s="13" t="s">
        <v>5</v>
      </c>
      <c r="B22" s="13">
        <v>1</v>
      </c>
      <c r="C22" s="12" t="s">
        <v>47</v>
      </c>
      <c r="D22" s="13" t="s">
        <v>66</v>
      </c>
      <c r="E22" s="13">
        <v>0.62</v>
      </c>
      <c r="F22" s="13">
        <f t="shared" si="1"/>
        <v>0.7</v>
      </c>
      <c r="G22" s="13">
        <v>0</v>
      </c>
      <c r="H22" s="12">
        <v>20</v>
      </c>
      <c r="I22" s="13">
        <f t="shared" si="0"/>
        <v>14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6</v>
      </c>
      <c r="P22" s="13">
        <v>0</v>
      </c>
      <c r="Q22" s="13">
        <v>7</v>
      </c>
      <c r="R22" s="13">
        <v>0</v>
      </c>
      <c r="S22" s="13">
        <v>1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2"/>
    </row>
    <row r="23" spans="1:60" x14ac:dyDescent="0.2">
      <c r="A23" s="13" t="s">
        <v>5</v>
      </c>
      <c r="B23" s="13">
        <v>1</v>
      </c>
      <c r="C23" s="12" t="s">
        <v>47</v>
      </c>
      <c r="D23" s="13" t="s">
        <v>54</v>
      </c>
      <c r="E23" s="13">
        <v>0.89</v>
      </c>
      <c r="F23" s="13">
        <f t="shared" si="1"/>
        <v>0.75</v>
      </c>
      <c r="G23" s="13">
        <v>0</v>
      </c>
      <c r="H23" s="12">
        <v>20</v>
      </c>
      <c r="I23" s="13">
        <f t="shared" si="0"/>
        <v>15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3</v>
      </c>
      <c r="P23" s="13">
        <v>0</v>
      </c>
      <c r="Q23" s="13">
        <v>11</v>
      </c>
      <c r="R23" s="13">
        <v>0</v>
      </c>
      <c r="S23" s="13">
        <v>1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2"/>
    </row>
    <row r="24" spans="1:60" x14ac:dyDescent="0.2">
      <c r="A24" s="13" t="s">
        <v>5</v>
      </c>
      <c r="B24" s="13">
        <v>1</v>
      </c>
      <c r="C24" s="12" t="s">
        <v>47</v>
      </c>
      <c r="D24" s="13" t="s">
        <v>67</v>
      </c>
      <c r="E24" s="13">
        <v>0.86</v>
      </c>
      <c r="F24" s="13">
        <f t="shared" si="1"/>
        <v>0.85</v>
      </c>
      <c r="G24" s="13">
        <v>0</v>
      </c>
      <c r="H24" s="12">
        <v>20</v>
      </c>
      <c r="I24" s="13">
        <f t="shared" si="0"/>
        <v>17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16</v>
      </c>
      <c r="P24" s="13">
        <v>0</v>
      </c>
      <c r="Q24" s="13">
        <v>1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2"/>
    </row>
    <row r="25" spans="1:60" x14ac:dyDescent="0.2">
      <c r="A25" s="13" t="s">
        <v>5</v>
      </c>
      <c r="B25" s="13">
        <v>1</v>
      </c>
      <c r="C25" s="12" t="s">
        <v>47</v>
      </c>
      <c r="D25" s="13" t="s">
        <v>56</v>
      </c>
      <c r="E25" s="13">
        <v>0.89</v>
      </c>
      <c r="F25" s="13">
        <f t="shared" si="1"/>
        <v>0.9</v>
      </c>
      <c r="G25" s="13">
        <v>0</v>
      </c>
      <c r="H25" s="12">
        <v>20</v>
      </c>
      <c r="I25" s="13">
        <f t="shared" si="0"/>
        <v>18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4</v>
      </c>
      <c r="P25" s="13">
        <v>0</v>
      </c>
      <c r="Q25" s="13">
        <v>12</v>
      </c>
      <c r="R25" s="13">
        <v>0</v>
      </c>
      <c r="S25" s="13">
        <v>1</v>
      </c>
      <c r="T25" s="13">
        <v>0</v>
      </c>
      <c r="U25" s="13">
        <v>0</v>
      </c>
      <c r="V25" s="13">
        <v>1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</v>
      </c>
      <c r="BF25" s="12">
        <v>0</v>
      </c>
      <c r="BG25" s="12">
        <v>0</v>
      </c>
      <c r="BH25" s="2"/>
    </row>
    <row r="26" spans="1:60" x14ac:dyDescent="0.2">
      <c r="A26" s="13" t="s">
        <v>5</v>
      </c>
      <c r="B26" s="13">
        <v>1</v>
      </c>
      <c r="C26" s="12" t="s">
        <v>47</v>
      </c>
      <c r="D26" s="13" t="s">
        <v>68</v>
      </c>
      <c r="E26" s="13">
        <v>0.85</v>
      </c>
      <c r="F26" s="13">
        <f t="shared" si="1"/>
        <v>0.7</v>
      </c>
      <c r="G26" s="13">
        <v>0</v>
      </c>
      <c r="H26" s="12">
        <v>20</v>
      </c>
      <c r="I26" s="13">
        <f t="shared" si="0"/>
        <v>14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7</v>
      </c>
      <c r="R26" s="13">
        <v>0</v>
      </c>
      <c r="S26" s="13">
        <v>7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2"/>
    </row>
    <row r="27" spans="1:60" x14ac:dyDescent="0.2">
      <c r="A27" s="13" t="s">
        <v>5</v>
      </c>
      <c r="B27" s="13">
        <v>1</v>
      </c>
      <c r="C27" s="12" t="s">
        <v>47</v>
      </c>
      <c r="D27" s="13" t="s">
        <v>69</v>
      </c>
      <c r="E27" s="13">
        <v>0.82</v>
      </c>
      <c r="F27" s="13">
        <f t="shared" si="1"/>
        <v>0.75</v>
      </c>
      <c r="G27" s="13">
        <v>1</v>
      </c>
      <c r="H27" s="12">
        <v>20</v>
      </c>
      <c r="I27" s="13">
        <f t="shared" si="0"/>
        <v>14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1</v>
      </c>
      <c r="P27" s="13">
        <v>0</v>
      </c>
      <c r="Q27" s="13">
        <v>9</v>
      </c>
      <c r="R27" s="13">
        <v>0</v>
      </c>
      <c r="S27" s="13">
        <v>2</v>
      </c>
      <c r="T27" s="13">
        <v>0</v>
      </c>
      <c r="U27" s="13">
        <v>0</v>
      </c>
      <c r="V27" s="13">
        <v>1</v>
      </c>
      <c r="W27" s="13">
        <v>0</v>
      </c>
      <c r="X27" s="13">
        <v>0</v>
      </c>
      <c r="Y27" s="13">
        <v>0</v>
      </c>
      <c r="Z27" s="13">
        <v>1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2"/>
    </row>
    <row r="28" spans="1:60" x14ac:dyDescent="0.2">
      <c r="A28" s="13" t="s">
        <v>5</v>
      </c>
      <c r="B28" s="13">
        <v>1</v>
      </c>
      <c r="C28" s="12" t="s">
        <v>47</v>
      </c>
      <c r="D28" s="13" t="s">
        <v>57</v>
      </c>
      <c r="E28" s="13">
        <v>0.9</v>
      </c>
      <c r="F28" s="13">
        <f t="shared" si="1"/>
        <v>0.85</v>
      </c>
      <c r="G28" s="13">
        <v>0</v>
      </c>
      <c r="H28" s="12">
        <v>20</v>
      </c>
      <c r="I28" s="13">
        <f t="shared" si="0"/>
        <v>17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2</v>
      </c>
      <c r="P28" s="13">
        <v>0</v>
      </c>
      <c r="Q28" s="13">
        <v>14</v>
      </c>
      <c r="R28" s="13">
        <v>0</v>
      </c>
      <c r="S28" s="13">
        <v>0</v>
      </c>
      <c r="T28" s="13">
        <v>0</v>
      </c>
      <c r="U28" s="13">
        <v>0</v>
      </c>
      <c r="V28" s="13">
        <v>1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2"/>
    </row>
    <row r="29" spans="1:60" x14ac:dyDescent="0.2">
      <c r="A29" s="13" t="s">
        <v>5</v>
      </c>
      <c r="B29" s="13">
        <v>1</v>
      </c>
      <c r="C29" s="12" t="s">
        <v>47</v>
      </c>
      <c r="D29" s="13" t="s">
        <v>70</v>
      </c>
      <c r="E29" s="13">
        <v>0.94</v>
      </c>
      <c r="F29" s="13">
        <f t="shared" si="1"/>
        <v>1</v>
      </c>
      <c r="G29" s="13">
        <v>0</v>
      </c>
      <c r="H29" s="12">
        <v>20</v>
      </c>
      <c r="I29" s="13">
        <f t="shared" si="0"/>
        <v>20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3</v>
      </c>
      <c r="P29" s="13">
        <v>0</v>
      </c>
      <c r="Q29" s="13">
        <v>17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</v>
      </c>
      <c r="BF29" s="12">
        <v>0</v>
      </c>
      <c r="BG29" s="12">
        <v>0</v>
      </c>
      <c r="BH29" s="2"/>
    </row>
    <row r="30" spans="1:60" x14ac:dyDescent="0.2">
      <c r="A30" s="13" t="s">
        <v>5</v>
      </c>
      <c r="B30" s="13">
        <v>1</v>
      </c>
      <c r="C30" s="12" t="s">
        <v>47</v>
      </c>
      <c r="D30" s="13" t="s">
        <v>71</v>
      </c>
      <c r="E30" s="13">
        <v>0.93</v>
      </c>
      <c r="F30" s="13">
        <f t="shared" si="1"/>
        <v>0.8</v>
      </c>
      <c r="G30" s="13">
        <v>0</v>
      </c>
      <c r="H30" s="12">
        <v>20</v>
      </c>
      <c r="I30" s="13">
        <f t="shared" si="0"/>
        <v>16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1</v>
      </c>
      <c r="P30" s="13">
        <v>0</v>
      </c>
      <c r="Q30" s="13">
        <v>13</v>
      </c>
      <c r="R30" s="13">
        <v>0</v>
      </c>
      <c r="S30" s="13">
        <v>0</v>
      </c>
      <c r="T30" s="13">
        <v>0</v>
      </c>
      <c r="U30" s="13">
        <v>0</v>
      </c>
      <c r="V30" s="13">
        <v>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2">
        <v>0</v>
      </c>
      <c r="AN30" s="12">
        <v>0</v>
      </c>
      <c r="AO30" s="12">
        <v>0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12">
        <v>0</v>
      </c>
      <c r="BG30" s="12">
        <v>0</v>
      </c>
      <c r="BH30" s="2"/>
    </row>
    <row r="31" spans="1:60" s="6" customFormat="1" x14ac:dyDescent="0.2">
      <c r="A31" s="13" t="s">
        <v>5</v>
      </c>
      <c r="B31" s="14">
        <v>1</v>
      </c>
      <c r="C31" s="12" t="s">
        <v>47</v>
      </c>
      <c r="D31" s="14" t="s">
        <v>63</v>
      </c>
      <c r="E31" s="14">
        <v>0.33</v>
      </c>
      <c r="F31" s="14">
        <f t="shared" si="1"/>
        <v>0.25</v>
      </c>
      <c r="G31" s="14">
        <v>0</v>
      </c>
      <c r="H31" s="12">
        <v>20</v>
      </c>
      <c r="I31" s="14">
        <f t="shared" si="0"/>
        <v>5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5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2"/>
    </row>
    <row r="32" spans="1:60" x14ac:dyDescent="0.2">
      <c r="A32" s="13" t="s">
        <v>6</v>
      </c>
      <c r="B32" s="13">
        <v>1</v>
      </c>
      <c r="C32" s="12" t="s">
        <v>47</v>
      </c>
      <c r="D32" s="13" t="s">
        <v>72</v>
      </c>
      <c r="E32" s="13">
        <v>0.65</v>
      </c>
      <c r="F32" s="13">
        <f t="shared" si="1"/>
        <v>0.45</v>
      </c>
      <c r="G32" s="13">
        <v>0</v>
      </c>
      <c r="H32" s="12">
        <v>20</v>
      </c>
      <c r="I32" s="13">
        <f t="shared" si="0"/>
        <v>9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5</v>
      </c>
      <c r="T32" s="13">
        <v>0</v>
      </c>
      <c r="U32" s="13">
        <v>0</v>
      </c>
      <c r="V32" s="13">
        <v>3</v>
      </c>
      <c r="W32" s="13">
        <v>0</v>
      </c>
      <c r="X32" s="13">
        <v>1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2"/>
    </row>
    <row r="33" spans="1:60" x14ac:dyDescent="0.2">
      <c r="A33" s="13" t="s">
        <v>6</v>
      </c>
      <c r="B33" s="13">
        <v>1</v>
      </c>
      <c r="C33" s="12" t="s">
        <v>47</v>
      </c>
      <c r="D33" s="13" t="s">
        <v>50</v>
      </c>
      <c r="E33" s="13">
        <v>0.93</v>
      </c>
      <c r="F33" s="13">
        <f t="shared" si="1"/>
        <v>0.9</v>
      </c>
      <c r="G33" s="13">
        <v>0</v>
      </c>
      <c r="H33" s="12">
        <v>20</v>
      </c>
      <c r="I33" s="13">
        <f t="shared" si="0"/>
        <v>18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15</v>
      </c>
      <c r="T33" s="13">
        <v>0</v>
      </c>
      <c r="U33" s="13">
        <v>0</v>
      </c>
      <c r="V33" s="13">
        <v>3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2"/>
    </row>
    <row r="34" spans="1:60" x14ac:dyDescent="0.2">
      <c r="A34" s="13" t="s">
        <v>6</v>
      </c>
      <c r="B34" s="13">
        <v>1</v>
      </c>
      <c r="C34" s="12" t="s">
        <v>47</v>
      </c>
      <c r="D34" s="13" t="s">
        <v>51</v>
      </c>
      <c r="E34" s="13">
        <v>0.66</v>
      </c>
      <c r="F34" s="13">
        <f t="shared" si="1"/>
        <v>0.6</v>
      </c>
      <c r="G34" s="13">
        <v>0</v>
      </c>
      <c r="H34" s="12">
        <v>20</v>
      </c>
      <c r="I34" s="13">
        <f t="shared" ref="I34:I65" si="2">SUM(J34:AM34)</f>
        <v>12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11</v>
      </c>
      <c r="T34" s="13">
        <v>0</v>
      </c>
      <c r="U34" s="13">
        <v>0</v>
      </c>
      <c r="V34" s="13">
        <v>1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2"/>
    </row>
    <row r="35" spans="1:60" x14ac:dyDescent="0.2">
      <c r="A35" s="13" t="s">
        <v>6</v>
      </c>
      <c r="B35" s="13">
        <v>1</v>
      </c>
      <c r="C35" s="12" t="s">
        <v>47</v>
      </c>
      <c r="D35" s="13" t="s">
        <v>73</v>
      </c>
      <c r="E35" s="13">
        <v>0.83</v>
      </c>
      <c r="F35" s="13">
        <f t="shared" si="1"/>
        <v>0.85</v>
      </c>
      <c r="G35" s="13">
        <v>0</v>
      </c>
      <c r="H35" s="12">
        <v>20</v>
      </c>
      <c r="I35" s="13">
        <f t="shared" si="2"/>
        <v>17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7</v>
      </c>
      <c r="R35" s="13">
        <v>0</v>
      </c>
      <c r="S35" s="13">
        <v>8</v>
      </c>
      <c r="T35" s="13">
        <v>0</v>
      </c>
      <c r="U35" s="13">
        <v>0</v>
      </c>
      <c r="V35" s="13">
        <v>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2"/>
    </row>
    <row r="36" spans="1:60" x14ac:dyDescent="0.2">
      <c r="A36" s="13" t="s">
        <v>6</v>
      </c>
      <c r="B36" s="13">
        <v>1</v>
      </c>
      <c r="C36" s="12" t="s">
        <v>47</v>
      </c>
      <c r="D36" s="13" t="s">
        <v>74</v>
      </c>
      <c r="E36" s="13">
        <v>0.9</v>
      </c>
      <c r="F36" s="13">
        <f t="shared" si="1"/>
        <v>0.95</v>
      </c>
      <c r="G36" s="13">
        <v>0</v>
      </c>
      <c r="H36" s="12">
        <v>20</v>
      </c>
      <c r="I36" s="13">
        <f t="shared" si="2"/>
        <v>19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11</v>
      </c>
      <c r="R36" s="13">
        <v>0</v>
      </c>
      <c r="S36" s="13">
        <v>8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2"/>
    </row>
    <row r="37" spans="1:60" x14ac:dyDescent="0.2">
      <c r="A37" s="13" t="s">
        <v>6</v>
      </c>
      <c r="B37" s="13">
        <v>1</v>
      </c>
      <c r="C37" s="12" t="s">
        <v>47</v>
      </c>
      <c r="D37" s="13" t="s">
        <v>75</v>
      </c>
      <c r="E37" s="13">
        <v>0.88</v>
      </c>
      <c r="F37" s="13">
        <f t="shared" si="1"/>
        <v>0.9</v>
      </c>
      <c r="G37" s="13">
        <v>4</v>
      </c>
      <c r="H37" s="12">
        <v>20</v>
      </c>
      <c r="I37" s="13">
        <f t="shared" si="2"/>
        <v>14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8</v>
      </c>
      <c r="T37" s="13">
        <v>0</v>
      </c>
      <c r="U37" s="13">
        <v>0</v>
      </c>
      <c r="V37" s="13">
        <v>4</v>
      </c>
      <c r="W37" s="13">
        <v>0</v>
      </c>
      <c r="X37" s="13">
        <v>1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1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2"/>
    </row>
    <row r="38" spans="1:60" x14ac:dyDescent="0.2">
      <c r="A38" s="13" t="s">
        <v>6</v>
      </c>
      <c r="B38" s="13">
        <v>1</v>
      </c>
      <c r="C38" s="12" t="s">
        <v>47</v>
      </c>
      <c r="D38" s="13" t="s">
        <v>56</v>
      </c>
      <c r="E38" s="13">
        <v>0.89</v>
      </c>
      <c r="F38" s="13">
        <f t="shared" si="1"/>
        <v>0.8</v>
      </c>
      <c r="G38" s="13">
        <v>0</v>
      </c>
      <c r="H38" s="12">
        <v>20</v>
      </c>
      <c r="I38" s="13">
        <f t="shared" si="2"/>
        <v>16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2</v>
      </c>
      <c r="T38" s="13">
        <v>0</v>
      </c>
      <c r="U38" s="13">
        <v>0</v>
      </c>
      <c r="V38" s="13">
        <v>14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2"/>
    </row>
    <row r="39" spans="1:60" x14ac:dyDescent="0.2">
      <c r="A39" s="13" t="s">
        <v>6</v>
      </c>
      <c r="B39" s="13">
        <v>1</v>
      </c>
      <c r="C39" s="12" t="s">
        <v>47</v>
      </c>
      <c r="D39" s="13" t="s">
        <v>76</v>
      </c>
      <c r="E39" s="13">
        <v>0.8</v>
      </c>
      <c r="F39" s="13">
        <f t="shared" si="1"/>
        <v>0.75</v>
      </c>
      <c r="G39" s="13">
        <v>0</v>
      </c>
      <c r="H39" s="12">
        <v>20</v>
      </c>
      <c r="I39" s="13">
        <f t="shared" si="2"/>
        <v>15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10</v>
      </c>
      <c r="W39" s="13">
        <v>0</v>
      </c>
      <c r="X39" s="13">
        <v>4</v>
      </c>
      <c r="Y39" s="13">
        <v>0</v>
      </c>
      <c r="Z39" s="13">
        <v>1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2"/>
    </row>
    <row r="40" spans="1:60" x14ac:dyDescent="0.2">
      <c r="A40" s="13" t="s">
        <v>6</v>
      </c>
      <c r="B40" s="13">
        <v>1</v>
      </c>
      <c r="C40" s="12" t="s">
        <v>47</v>
      </c>
      <c r="D40" s="13" t="s">
        <v>77</v>
      </c>
      <c r="E40" s="13">
        <v>0.83</v>
      </c>
      <c r="F40" s="13">
        <f t="shared" si="1"/>
        <v>0.55000000000000004</v>
      </c>
      <c r="G40" s="13">
        <v>0</v>
      </c>
      <c r="H40" s="12">
        <v>20</v>
      </c>
      <c r="I40" s="13">
        <f t="shared" si="2"/>
        <v>11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1</v>
      </c>
      <c r="R40" s="13">
        <v>0</v>
      </c>
      <c r="S40" s="13">
        <v>6</v>
      </c>
      <c r="T40" s="13">
        <v>0</v>
      </c>
      <c r="U40" s="13">
        <v>0</v>
      </c>
      <c r="V40" s="13">
        <v>4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2"/>
    </row>
    <row r="41" spans="1:60" x14ac:dyDescent="0.2">
      <c r="A41" s="13" t="s">
        <v>6</v>
      </c>
      <c r="B41" s="13">
        <v>1</v>
      </c>
      <c r="C41" s="12" t="s">
        <v>47</v>
      </c>
      <c r="D41" s="13" t="s">
        <v>78</v>
      </c>
      <c r="E41" s="13">
        <v>0.94</v>
      </c>
      <c r="F41" s="13">
        <f t="shared" si="1"/>
        <v>0.7</v>
      </c>
      <c r="G41" s="13">
        <v>0</v>
      </c>
      <c r="H41" s="12">
        <v>20</v>
      </c>
      <c r="I41" s="13">
        <f t="shared" si="2"/>
        <v>14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12</v>
      </c>
      <c r="W41" s="13">
        <v>0</v>
      </c>
      <c r="X41" s="13">
        <v>1</v>
      </c>
      <c r="Y41" s="13">
        <v>0</v>
      </c>
      <c r="Z41" s="13">
        <v>1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2"/>
    </row>
    <row r="42" spans="1:60" x14ac:dyDescent="0.2">
      <c r="A42" s="13" t="s">
        <v>6</v>
      </c>
      <c r="B42" s="13">
        <v>1</v>
      </c>
      <c r="C42" s="12" t="s">
        <v>47</v>
      </c>
      <c r="D42" s="13" t="s">
        <v>58</v>
      </c>
      <c r="E42" s="13">
        <v>0.68</v>
      </c>
      <c r="F42" s="13">
        <f t="shared" si="1"/>
        <v>0.8</v>
      </c>
      <c r="G42" s="13">
        <v>0</v>
      </c>
      <c r="H42" s="12">
        <v>20</v>
      </c>
      <c r="I42" s="13">
        <f t="shared" si="2"/>
        <v>16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14</v>
      </c>
      <c r="W42" s="13">
        <v>0</v>
      </c>
      <c r="X42" s="13">
        <v>0</v>
      </c>
      <c r="Y42" s="13">
        <v>0</v>
      </c>
      <c r="Z42" s="13">
        <v>2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2"/>
    </row>
    <row r="43" spans="1:60" x14ac:dyDescent="0.2">
      <c r="A43" s="13" t="s">
        <v>6</v>
      </c>
      <c r="B43" s="13">
        <v>1</v>
      </c>
      <c r="C43" s="12" t="s">
        <v>47</v>
      </c>
      <c r="D43" s="13" t="s">
        <v>79</v>
      </c>
      <c r="E43" s="13">
        <v>0.28000000000000003</v>
      </c>
      <c r="F43" s="13">
        <f t="shared" si="1"/>
        <v>0.3</v>
      </c>
      <c r="G43" s="13">
        <v>1</v>
      </c>
      <c r="H43" s="12">
        <v>20</v>
      </c>
      <c r="I43" s="13">
        <f t="shared" si="2"/>
        <v>5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5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2"/>
    </row>
    <row r="44" spans="1:60" x14ac:dyDescent="0.2">
      <c r="A44" s="13" t="s">
        <v>6</v>
      </c>
      <c r="B44" s="13">
        <v>1</v>
      </c>
      <c r="C44" s="12" t="s">
        <v>47</v>
      </c>
      <c r="D44" s="13" t="s">
        <v>70</v>
      </c>
      <c r="E44" s="13">
        <v>0.94</v>
      </c>
      <c r="F44" s="13">
        <f t="shared" si="1"/>
        <v>0.9</v>
      </c>
      <c r="G44" s="13">
        <v>0</v>
      </c>
      <c r="H44" s="12">
        <v>20</v>
      </c>
      <c r="I44" s="13">
        <f t="shared" si="2"/>
        <v>18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4</v>
      </c>
      <c r="R44" s="13">
        <v>0</v>
      </c>
      <c r="S44" s="13">
        <v>13</v>
      </c>
      <c r="T44" s="13">
        <v>0</v>
      </c>
      <c r="U44" s="13">
        <v>0</v>
      </c>
      <c r="V44" s="13">
        <v>1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2"/>
    </row>
    <row r="45" spans="1:60" x14ac:dyDescent="0.2">
      <c r="A45" s="13" t="s">
        <v>6</v>
      </c>
      <c r="B45" s="13">
        <v>1</v>
      </c>
      <c r="C45" s="12" t="s">
        <v>47</v>
      </c>
      <c r="D45" s="13" t="s">
        <v>80</v>
      </c>
      <c r="E45" s="13">
        <v>0.77</v>
      </c>
      <c r="F45" s="13">
        <f t="shared" si="1"/>
        <v>0.2</v>
      </c>
      <c r="G45" s="13">
        <v>2</v>
      </c>
      <c r="H45" s="12">
        <v>20</v>
      </c>
      <c r="I45" s="13">
        <f t="shared" si="2"/>
        <v>2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2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2"/>
    </row>
    <row r="46" spans="1:60" s="6" customFormat="1" x14ac:dyDescent="0.2">
      <c r="A46" s="13" t="s">
        <v>6</v>
      </c>
      <c r="B46" s="14">
        <v>1</v>
      </c>
      <c r="C46" s="12" t="s">
        <v>47</v>
      </c>
      <c r="D46" s="14" t="s">
        <v>61</v>
      </c>
      <c r="E46" s="14">
        <v>0.4</v>
      </c>
      <c r="F46" s="14">
        <f t="shared" si="1"/>
        <v>0.2</v>
      </c>
      <c r="G46" s="14">
        <v>0</v>
      </c>
      <c r="H46" s="12">
        <v>20</v>
      </c>
      <c r="I46" s="14">
        <f t="shared" si="2"/>
        <v>4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2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1</v>
      </c>
      <c r="AD46" s="14">
        <v>0</v>
      </c>
      <c r="AE46" s="14">
        <v>1</v>
      </c>
      <c r="AF46" s="14">
        <v>0</v>
      </c>
      <c r="AG46" s="14">
        <v>0</v>
      </c>
      <c r="AH46" s="14">
        <v>0</v>
      </c>
      <c r="AI46" s="14">
        <v>0</v>
      </c>
      <c r="AJ46" s="14">
        <v>0</v>
      </c>
      <c r="AK46" s="14">
        <v>0</v>
      </c>
      <c r="AL46" s="14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0</v>
      </c>
      <c r="BE46" s="12">
        <v>0</v>
      </c>
      <c r="BF46" s="12">
        <v>0</v>
      </c>
      <c r="BG46" s="12">
        <v>0</v>
      </c>
      <c r="BH46" s="2"/>
    </row>
    <row r="47" spans="1:60" x14ac:dyDescent="0.2">
      <c r="A47" s="13" t="s">
        <v>7</v>
      </c>
      <c r="B47" s="13">
        <v>1</v>
      </c>
      <c r="C47" s="12" t="s">
        <v>47</v>
      </c>
      <c r="D47" s="13" t="s">
        <v>49</v>
      </c>
      <c r="E47" s="13">
        <v>0.86</v>
      </c>
      <c r="F47" s="13">
        <f t="shared" si="1"/>
        <v>0.55000000000000004</v>
      </c>
      <c r="G47" s="13">
        <v>1</v>
      </c>
      <c r="H47" s="12">
        <v>20</v>
      </c>
      <c r="I47" s="13">
        <f t="shared" si="2"/>
        <v>10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4</v>
      </c>
      <c r="R47" s="13">
        <v>0</v>
      </c>
      <c r="S47" s="13">
        <v>3</v>
      </c>
      <c r="T47" s="13">
        <v>0</v>
      </c>
      <c r="U47" s="13">
        <v>0</v>
      </c>
      <c r="V47" s="13">
        <v>3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2"/>
    </row>
    <row r="48" spans="1:60" x14ac:dyDescent="0.2">
      <c r="A48" s="13" t="s">
        <v>7</v>
      </c>
      <c r="B48" s="13">
        <v>1</v>
      </c>
      <c r="C48" s="12" t="s">
        <v>47</v>
      </c>
      <c r="D48" s="13" t="s">
        <v>81</v>
      </c>
      <c r="E48" s="13">
        <v>0.87</v>
      </c>
      <c r="F48" s="13">
        <f t="shared" si="1"/>
        <v>0.85</v>
      </c>
      <c r="G48" s="13">
        <v>0</v>
      </c>
      <c r="H48" s="12">
        <v>20</v>
      </c>
      <c r="I48" s="13">
        <f t="shared" si="2"/>
        <v>17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6</v>
      </c>
      <c r="R48" s="13">
        <v>0</v>
      </c>
      <c r="S48" s="13">
        <v>6</v>
      </c>
      <c r="T48" s="13">
        <v>0</v>
      </c>
      <c r="U48" s="13">
        <v>0</v>
      </c>
      <c r="V48" s="13">
        <v>5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2"/>
    </row>
    <row r="49" spans="1:60" x14ac:dyDescent="0.2">
      <c r="A49" s="13" t="s">
        <v>7</v>
      </c>
      <c r="B49" s="13">
        <v>1</v>
      </c>
      <c r="C49" s="12" t="s">
        <v>47</v>
      </c>
      <c r="D49" s="13" t="s">
        <v>82</v>
      </c>
      <c r="E49" s="13">
        <v>0.96</v>
      </c>
      <c r="F49" s="13">
        <f t="shared" si="1"/>
        <v>0.9</v>
      </c>
      <c r="G49" s="13">
        <v>0</v>
      </c>
      <c r="H49" s="12">
        <v>20</v>
      </c>
      <c r="I49" s="13">
        <f t="shared" si="2"/>
        <v>18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16</v>
      </c>
      <c r="R49" s="13">
        <v>0</v>
      </c>
      <c r="S49" s="13">
        <v>1</v>
      </c>
      <c r="T49" s="13">
        <v>0</v>
      </c>
      <c r="U49" s="13">
        <v>0</v>
      </c>
      <c r="V49" s="13">
        <v>1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2"/>
    </row>
    <row r="50" spans="1:60" x14ac:dyDescent="0.2">
      <c r="A50" s="13" t="s">
        <v>7</v>
      </c>
      <c r="B50" s="13">
        <v>1</v>
      </c>
      <c r="C50" s="12" t="s">
        <v>47</v>
      </c>
      <c r="D50" s="13" t="s">
        <v>83</v>
      </c>
      <c r="E50" s="13">
        <v>0.77</v>
      </c>
      <c r="F50" s="13">
        <f t="shared" si="1"/>
        <v>0.8</v>
      </c>
      <c r="G50" s="13">
        <v>0</v>
      </c>
      <c r="H50" s="12">
        <v>20</v>
      </c>
      <c r="I50" s="13">
        <f t="shared" si="2"/>
        <v>16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15</v>
      </c>
      <c r="R50" s="13">
        <v>0</v>
      </c>
      <c r="S50" s="13">
        <v>1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2"/>
    </row>
    <row r="51" spans="1:60" x14ac:dyDescent="0.2">
      <c r="A51" s="13" t="s">
        <v>7</v>
      </c>
      <c r="B51" s="13">
        <v>1</v>
      </c>
      <c r="C51" s="12" t="s">
        <v>47</v>
      </c>
      <c r="D51" s="13" t="s">
        <v>84</v>
      </c>
      <c r="E51" s="13">
        <v>0.57999999999999996</v>
      </c>
      <c r="F51" s="13">
        <f t="shared" si="1"/>
        <v>0.3</v>
      </c>
      <c r="G51" s="13">
        <v>0</v>
      </c>
      <c r="H51" s="12">
        <v>20</v>
      </c>
      <c r="I51" s="13">
        <f t="shared" si="2"/>
        <v>6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6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</v>
      </c>
      <c r="BE51" s="12">
        <v>0</v>
      </c>
      <c r="BF51" s="12">
        <v>0</v>
      </c>
      <c r="BG51" s="12">
        <v>0</v>
      </c>
      <c r="BH51" s="2"/>
    </row>
    <row r="52" spans="1:60" x14ac:dyDescent="0.2">
      <c r="A52" s="13" t="s">
        <v>7</v>
      </c>
      <c r="B52" s="13">
        <v>1</v>
      </c>
      <c r="C52" s="12" t="s">
        <v>47</v>
      </c>
      <c r="D52" s="13" t="s">
        <v>65</v>
      </c>
      <c r="E52" s="13">
        <v>0.83</v>
      </c>
      <c r="F52" s="13">
        <f t="shared" si="1"/>
        <v>0.9</v>
      </c>
      <c r="G52" s="13">
        <v>0</v>
      </c>
      <c r="H52" s="12">
        <v>20</v>
      </c>
      <c r="I52" s="13">
        <f t="shared" si="2"/>
        <v>18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14</v>
      </c>
      <c r="R52" s="13">
        <v>0</v>
      </c>
      <c r="S52" s="13">
        <v>4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2">
        <v>0</v>
      </c>
      <c r="AN52" s="12">
        <v>0</v>
      </c>
      <c r="AO52" s="12">
        <v>0</v>
      </c>
      <c r="AP52" s="12">
        <v>0</v>
      </c>
      <c r="AQ52" s="12">
        <v>0</v>
      </c>
      <c r="AR52" s="12">
        <v>0</v>
      </c>
      <c r="AS52" s="12">
        <v>0</v>
      </c>
      <c r="AT52" s="12">
        <v>0</v>
      </c>
      <c r="AU52" s="12">
        <v>0</v>
      </c>
      <c r="AV52" s="12">
        <v>0</v>
      </c>
      <c r="AW52" s="12">
        <v>0</v>
      </c>
      <c r="AX52" s="12">
        <v>0</v>
      </c>
      <c r="AY52" s="12">
        <v>0</v>
      </c>
      <c r="AZ52" s="12">
        <v>0</v>
      </c>
      <c r="BA52" s="12">
        <v>0</v>
      </c>
      <c r="BB52" s="12">
        <v>0</v>
      </c>
      <c r="BC52" s="12">
        <v>0</v>
      </c>
      <c r="BD52" s="12">
        <v>0</v>
      </c>
      <c r="BE52" s="12">
        <v>0</v>
      </c>
      <c r="BF52" s="12">
        <v>0</v>
      </c>
      <c r="BG52" s="12">
        <v>0</v>
      </c>
      <c r="BH52" s="2"/>
    </row>
    <row r="53" spans="1:60" x14ac:dyDescent="0.2">
      <c r="A53" s="13" t="s">
        <v>7</v>
      </c>
      <c r="B53" s="13">
        <v>1</v>
      </c>
      <c r="C53" s="12" t="s">
        <v>47</v>
      </c>
      <c r="D53" s="13" t="s">
        <v>85</v>
      </c>
      <c r="E53" s="13">
        <v>0.92</v>
      </c>
      <c r="F53" s="13">
        <f t="shared" si="1"/>
        <v>0.95</v>
      </c>
      <c r="G53" s="13">
        <v>0</v>
      </c>
      <c r="H53" s="12">
        <v>20</v>
      </c>
      <c r="I53" s="13">
        <f t="shared" si="2"/>
        <v>19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18</v>
      </c>
      <c r="R53" s="13">
        <v>0</v>
      </c>
      <c r="S53" s="13">
        <v>1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2">
        <v>0</v>
      </c>
      <c r="AN53" s="12">
        <v>0</v>
      </c>
      <c r="AO53" s="12">
        <v>0</v>
      </c>
      <c r="AP53" s="12">
        <v>0</v>
      </c>
      <c r="AQ53" s="12">
        <v>0</v>
      </c>
      <c r="AR53" s="12">
        <v>0</v>
      </c>
      <c r="AS53" s="12">
        <v>0</v>
      </c>
      <c r="AT53" s="12">
        <v>0</v>
      </c>
      <c r="AU53" s="12">
        <v>0</v>
      </c>
      <c r="AV53" s="12">
        <v>0</v>
      </c>
      <c r="AW53" s="12">
        <v>0</v>
      </c>
      <c r="AX53" s="12">
        <v>0</v>
      </c>
      <c r="AY53" s="12">
        <v>0</v>
      </c>
      <c r="AZ53" s="12">
        <v>0</v>
      </c>
      <c r="BA53" s="12">
        <v>0</v>
      </c>
      <c r="BB53" s="12">
        <v>0</v>
      </c>
      <c r="BC53" s="12">
        <v>0</v>
      </c>
      <c r="BD53" s="12">
        <v>0</v>
      </c>
      <c r="BE53" s="12">
        <v>0</v>
      </c>
      <c r="BF53" s="12">
        <v>0</v>
      </c>
      <c r="BG53" s="12">
        <v>0</v>
      </c>
      <c r="BH53" s="2"/>
    </row>
    <row r="54" spans="1:60" x14ac:dyDescent="0.2">
      <c r="A54" s="13" t="s">
        <v>7</v>
      </c>
      <c r="B54" s="13">
        <v>1</v>
      </c>
      <c r="C54" s="12" t="s">
        <v>47</v>
      </c>
      <c r="D54" s="13" t="s">
        <v>67</v>
      </c>
      <c r="E54" s="13">
        <v>0.86</v>
      </c>
      <c r="F54" s="13">
        <f t="shared" si="1"/>
        <v>1</v>
      </c>
      <c r="G54" s="13">
        <v>0</v>
      </c>
      <c r="H54" s="12">
        <v>20</v>
      </c>
      <c r="I54" s="13">
        <f t="shared" si="2"/>
        <v>20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13</v>
      </c>
      <c r="P54" s="13">
        <v>0</v>
      </c>
      <c r="Q54" s="13">
        <v>7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2"/>
    </row>
    <row r="55" spans="1:60" x14ac:dyDescent="0.2">
      <c r="A55" s="13" t="s">
        <v>7</v>
      </c>
      <c r="B55" s="13">
        <v>1</v>
      </c>
      <c r="C55" s="12" t="s">
        <v>47</v>
      </c>
      <c r="D55" s="13" t="s">
        <v>75</v>
      </c>
      <c r="E55" s="13">
        <v>0.88</v>
      </c>
      <c r="F55" s="13">
        <f t="shared" si="1"/>
        <v>1</v>
      </c>
      <c r="G55" s="13">
        <v>0</v>
      </c>
      <c r="H55" s="12">
        <v>20</v>
      </c>
      <c r="I55" s="13">
        <f t="shared" si="2"/>
        <v>20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7</v>
      </c>
      <c r="R55" s="13">
        <v>0</v>
      </c>
      <c r="S55" s="13">
        <v>8</v>
      </c>
      <c r="T55" s="13">
        <v>0</v>
      </c>
      <c r="U55" s="13">
        <v>0</v>
      </c>
      <c r="V55" s="13">
        <v>2</v>
      </c>
      <c r="W55" s="13">
        <v>0</v>
      </c>
      <c r="X55" s="13">
        <v>0</v>
      </c>
      <c r="Y55" s="13">
        <v>0</v>
      </c>
      <c r="Z55" s="13">
        <v>1</v>
      </c>
      <c r="AA55" s="13">
        <v>0</v>
      </c>
      <c r="AB55" s="13">
        <v>0</v>
      </c>
      <c r="AC55" s="13">
        <v>1</v>
      </c>
      <c r="AD55" s="13">
        <v>0</v>
      </c>
      <c r="AE55" s="13">
        <v>1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2">
        <v>0</v>
      </c>
      <c r="AN55" s="12">
        <v>0</v>
      </c>
      <c r="AO55" s="12">
        <v>0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2"/>
    </row>
    <row r="56" spans="1:60" x14ac:dyDescent="0.2">
      <c r="A56" s="13" t="s">
        <v>7</v>
      </c>
      <c r="B56" s="13">
        <v>1</v>
      </c>
      <c r="C56" s="12" t="s">
        <v>47</v>
      </c>
      <c r="D56" s="13" t="s">
        <v>86</v>
      </c>
      <c r="E56" s="13">
        <v>0.89</v>
      </c>
      <c r="F56" s="13">
        <f t="shared" si="1"/>
        <v>0.3</v>
      </c>
      <c r="G56" s="13">
        <v>6</v>
      </c>
      <c r="H56" s="12">
        <v>20</v>
      </c>
      <c r="I56" s="13">
        <f t="shared" si="2"/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2"/>
    </row>
    <row r="57" spans="1:60" x14ac:dyDescent="0.2">
      <c r="A57" s="13" t="s">
        <v>7</v>
      </c>
      <c r="B57" s="13">
        <v>1</v>
      </c>
      <c r="C57" s="12" t="s">
        <v>47</v>
      </c>
      <c r="D57" s="13" t="s">
        <v>57</v>
      </c>
      <c r="E57" s="13">
        <v>0.9</v>
      </c>
      <c r="F57" s="13">
        <f t="shared" si="1"/>
        <v>0.85</v>
      </c>
      <c r="G57" s="13">
        <v>0</v>
      </c>
      <c r="H57" s="12">
        <v>20</v>
      </c>
      <c r="I57" s="13">
        <f t="shared" si="2"/>
        <v>17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14</v>
      </c>
      <c r="R57" s="13">
        <v>0</v>
      </c>
      <c r="S57" s="13">
        <v>1</v>
      </c>
      <c r="T57" s="13">
        <v>0</v>
      </c>
      <c r="U57" s="13">
        <v>0</v>
      </c>
      <c r="V57" s="13">
        <v>2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2"/>
    </row>
    <row r="58" spans="1:60" x14ac:dyDescent="0.2">
      <c r="A58" s="13" t="s">
        <v>7</v>
      </c>
      <c r="B58" s="13">
        <v>1</v>
      </c>
      <c r="C58" s="12" t="s">
        <v>47</v>
      </c>
      <c r="D58" s="13" t="s">
        <v>78</v>
      </c>
      <c r="E58" s="13">
        <v>0.94</v>
      </c>
      <c r="F58" s="13">
        <f t="shared" si="1"/>
        <v>0.8</v>
      </c>
      <c r="G58" s="13">
        <v>0</v>
      </c>
      <c r="H58" s="12">
        <v>20</v>
      </c>
      <c r="I58" s="13">
        <f t="shared" si="2"/>
        <v>16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11</v>
      </c>
      <c r="R58" s="13">
        <v>0</v>
      </c>
      <c r="S58" s="13">
        <v>4</v>
      </c>
      <c r="T58" s="13">
        <v>0</v>
      </c>
      <c r="U58" s="13">
        <v>0</v>
      </c>
      <c r="V58" s="13">
        <v>1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2"/>
    </row>
    <row r="59" spans="1:60" x14ac:dyDescent="0.2">
      <c r="A59" s="13" t="s">
        <v>7</v>
      </c>
      <c r="B59" s="13">
        <v>1</v>
      </c>
      <c r="C59" s="12" t="s">
        <v>47</v>
      </c>
      <c r="D59" s="13" t="s">
        <v>60</v>
      </c>
      <c r="E59" s="13">
        <v>0.97</v>
      </c>
      <c r="F59" s="13">
        <f t="shared" si="1"/>
        <v>0.6</v>
      </c>
      <c r="G59" s="13">
        <v>0</v>
      </c>
      <c r="H59" s="12">
        <v>20</v>
      </c>
      <c r="I59" s="13">
        <f t="shared" si="2"/>
        <v>12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7</v>
      </c>
      <c r="P59" s="13">
        <v>0</v>
      </c>
      <c r="Q59" s="13">
        <v>5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2"/>
    </row>
    <row r="60" spans="1:60" x14ac:dyDescent="0.2">
      <c r="A60" s="13" t="s">
        <v>7</v>
      </c>
      <c r="B60" s="13">
        <v>1</v>
      </c>
      <c r="C60" s="12" t="s">
        <v>47</v>
      </c>
      <c r="D60" s="13" t="s">
        <v>61</v>
      </c>
      <c r="E60" s="13">
        <v>0.4</v>
      </c>
      <c r="F60" s="13">
        <f t="shared" si="1"/>
        <v>0.3</v>
      </c>
      <c r="G60" s="13">
        <v>0</v>
      </c>
      <c r="H60" s="12">
        <v>20</v>
      </c>
      <c r="I60" s="13">
        <f t="shared" si="2"/>
        <v>6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3</v>
      </c>
      <c r="W60" s="13">
        <v>0</v>
      </c>
      <c r="X60" s="13">
        <v>0</v>
      </c>
      <c r="Y60" s="13">
        <v>0</v>
      </c>
      <c r="Z60" s="13">
        <v>2</v>
      </c>
      <c r="AA60" s="13">
        <v>0</v>
      </c>
      <c r="AB60" s="13">
        <v>0</v>
      </c>
      <c r="AC60" s="13">
        <v>1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2">
        <v>0</v>
      </c>
      <c r="AN60" s="12">
        <v>0</v>
      </c>
      <c r="AO60" s="12">
        <v>0</v>
      </c>
      <c r="AP60" s="12">
        <v>0</v>
      </c>
      <c r="AQ60" s="12">
        <v>0</v>
      </c>
      <c r="AR60" s="12">
        <v>0</v>
      </c>
      <c r="AS60" s="12">
        <v>0</v>
      </c>
      <c r="AT60" s="12">
        <v>0</v>
      </c>
      <c r="AU60" s="12">
        <v>0</v>
      </c>
      <c r="AV60" s="12">
        <v>0</v>
      </c>
      <c r="AW60" s="12">
        <v>0</v>
      </c>
      <c r="AX60" s="12">
        <v>0</v>
      </c>
      <c r="AY60" s="12">
        <v>0</v>
      </c>
      <c r="AZ60" s="12">
        <v>0</v>
      </c>
      <c r="BA60" s="12">
        <v>0</v>
      </c>
      <c r="BB60" s="12">
        <v>0</v>
      </c>
      <c r="BC60" s="12">
        <v>0</v>
      </c>
      <c r="BD60" s="12">
        <v>0</v>
      </c>
      <c r="BE60" s="12">
        <v>0</v>
      </c>
      <c r="BF60" s="12">
        <v>0</v>
      </c>
      <c r="BG60" s="12">
        <v>0</v>
      </c>
      <c r="BH60" s="2"/>
    </row>
    <row r="61" spans="1:60" s="6" customFormat="1" x14ac:dyDescent="0.2">
      <c r="A61" s="13" t="s">
        <v>7</v>
      </c>
      <c r="B61" s="14">
        <v>1</v>
      </c>
      <c r="C61" s="12" t="s">
        <v>47</v>
      </c>
      <c r="D61" s="14" t="s">
        <v>87</v>
      </c>
      <c r="E61" s="14">
        <v>0.89</v>
      </c>
      <c r="F61" s="14">
        <f t="shared" si="1"/>
        <v>0.5</v>
      </c>
      <c r="G61" s="14">
        <v>0</v>
      </c>
      <c r="H61" s="12">
        <v>20</v>
      </c>
      <c r="I61" s="14">
        <f t="shared" si="2"/>
        <v>10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3</v>
      </c>
      <c r="P61" s="14">
        <v>0</v>
      </c>
      <c r="Q61" s="14">
        <v>7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14">
        <v>0</v>
      </c>
      <c r="AE61" s="14">
        <v>0</v>
      </c>
      <c r="AF61" s="14">
        <v>0</v>
      </c>
      <c r="AG61" s="14">
        <v>0</v>
      </c>
      <c r="AH61" s="14">
        <v>0</v>
      </c>
      <c r="AI61" s="14">
        <v>0</v>
      </c>
      <c r="AJ61" s="14">
        <v>0</v>
      </c>
      <c r="AK61" s="14">
        <v>0</v>
      </c>
      <c r="AL61" s="14">
        <v>0</v>
      </c>
      <c r="AM61" s="12">
        <v>0</v>
      </c>
      <c r="AN61" s="12">
        <v>0</v>
      </c>
      <c r="AO61" s="12">
        <v>0</v>
      </c>
      <c r="AP61" s="12">
        <v>0</v>
      </c>
      <c r="AQ61" s="12">
        <v>0</v>
      </c>
      <c r="AR61" s="12">
        <v>0</v>
      </c>
      <c r="AS61" s="12">
        <v>0</v>
      </c>
      <c r="AT61" s="12">
        <v>0</v>
      </c>
      <c r="AU61" s="12">
        <v>0</v>
      </c>
      <c r="AV61" s="12">
        <v>0</v>
      </c>
      <c r="AW61" s="12">
        <v>0</v>
      </c>
      <c r="AX61" s="12">
        <v>0</v>
      </c>
      <c r="AY61" s="12">
        <v>0</v>
      </c>
      <c r="AZ61" s="12">
        <v>0</v>
      </c>
      <c r="BA61" s="12">
        <v>0</v>
      </c>
      <c r="BB61" s="12">
        <v>0</v>
      </c>
      <c r="BC61" s="12">
        <v>0</v>
      </c>
      <c r="BD61" s="12">
        <v>0</v>
      </c>
      <c r="BE61" s="12">
        <v>0</v>
      </c>
      <c r="BF61" s="12">
        <v>0</v>
      </c>
      <c r="BG61" s="12">
        <v>0</v>
      </c>
      <c r="BH61" s="2"/>
    </row>
    <row r="62" spans="1:60" x14ac:dyDescent="0.2">
      <c r="A62" s="13" t="s">
        <v>8</v>
      </c>
      <c r="B62" s="13">
        <v>1</v>
      </c>
      <c r="C62" s="12" t="s">
        <v>47</v>
      </c>
      <c r="D62" s="13" t="s">
        <v>64</v>
      </c>
      <c r="E62" s="13">
        <v>0.93</v>
      </c>
      <c r="F62" s="13">
        <f t="shared" si="1"/>
        <v>1</v>
      </c>
      <c r="G62" s="13">
        <v>0</v>
      </c>
      <c r="H62" s="12">
        <v>20</v>
      </c>
      <c r="I62" s="13">
        <f t="shared" si="2"/>
        <v>20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6</v>
      </c>
      <c r="R62" s="13">
        <v>0</v>
      </c>
      <c r="S62" s="13">
        <v>11</v>
      </c>
      <c r="T62" s="13">
        <v>0</v>
      </c>
      <c r="U62" s="13">
        <v>0</v>
      </c>
      <c r="V62" s="13">
        <v>1</v>
      </c>
      <c r="W62" s="13">
        <v>0</v>
      </c>
      <c r="X62" s="13">
        <v>1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1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2">
        <v>0</v>
      </c>
      <c r="AN62" s="12">
        <v>0</v>
      </c>
      <c r="AO62" s="12">
        <v>0</v>
      </c>
      <c r="AP62" s="12">
        <v>0</v>
      </c>
      <c r="AQ62" s="12">
        <v>0</v>
      </c>
      <c r="AR62" s="12">
        <v>0</v>
      </c>
      <c r="AS62" s="12">
        <v>0</v>
      </c>
      <c r="AT62" s="12">
        <v>0</v>
      </c>
      <c r="AU62" s="12">
        <v>0</v>
      </c>
      <c r="AV62" s="12">
        <v>0</v>
      </c>
      <c r="AW62" s="12">
        <v>0</v>
      </c>
      <c r="AX62" s="12">
        <v>0</v>
      </c>
      <c r="AY62" s="12">
        <v>0</v>
      </c>
      <c r="AZ62" s="12">
        <v>0</v>
      </c>
      <c r="BA62" s="12">
        <v>0</v>
      </c>
      <c r="BB62" s="12">
        <v>0</v>
      </c>
      <c r="BC62" s="12">
        <v>0</v>
      </c>
      <c r="BD62" s="12">
        <v>0</v>
      </c>
      <c r="BE62" s="12">
        <v>0</v>
      </c>
      <c r="BF62" s="12">
        <v>0</v>
      </c>
      <c r="BG62" s="12">
        <v>0</v>
      </c>
      <c r="BH62" s="2"/>
    </row>
    <row r="63" spans="1:60" x14ac:dyDescent="0.2">
      <c r="A63" s="13" t="s">
        <v>8</v>
      </c>
      <c r="B63" s="13">
        <v>1</v>
      </c>
      <c r="C63" s="12" t="s">
        <v>47</v>
      </c>
      <c r="D63" s="13" t="s">
        <v>82</v>
      </c>
      <c r="E63" s="13">
        <v>0.96</v>
      </c>
      <c r="F63" s="13">
        <f t="shared" si="1"/>
        <v>1</v>
      </c>
      <c r="G63" s="13">
        <v>0</v>
      </c>
      <c r="H63" s="12">
        <v>20</v>
      </c>
      <c r="I63" s="13">
        <f t="shared" si="2"/>
        <v>20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2</v>
      </c>
      <c r="P63" s="13">
        <v>0</v>
      </c>
      <c r="Q63" s="13">
        <v>13</v>
      </c>
      <c r="R63" s="13">
        <v>0</v>
      </c>
      <c r="S63" s="13">
        <v>5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  <c r="AJ63" s="13">
        <v>0</v>
      </c>
      <c r="AK63" s="13">
        <v>0</v>
      </c>
      <c r="AL63" s="13">
        <v>0</v>
      </c>
      <c r="AM63" s="12">
        <v>0</v>
      </c>
      <c r="AN63" s="12">
        <v>0</v>
      </c>
      <c r="AO63" s="12">
        <v>0</v>
      </c>
      <c r="AP63" s="12">
        <v>0</v>
      </c>
      <c r="AQ63" s="12">
        <v>0</v>
      </c>
      <c r="AR63" s="12">
        <v>0</v>
      </c>
      <c r="AS63" s="12">
        <v>0</v>
      </c>
      <c r="AT63" s="12">
        <v>0</v>
      </c>
      <c r="AU63" s="12">
        <v>0</v>
      </c>
      <c r="AV63" s="12">
        <v>0</v>
      </c>
      <c r="AW63" s="12">
        <v>0</v>
      </c>
      <c r="AX63" s="12">
        <v>0</v>
      </c>
      <c r="AY63" s="12">
        <v>0</v>
      </c>
      <c r="AZ63" s="12">
        <v>0</v>
      </c>
      <c r="BA63" s="12">
        <v>0</v>
      </c>
      <c r="BB63" s="12">
        <v>0</v>
      </c>
      <c r="BC63" s="12">
        <v>0</v>
      </c>
      <c r="BD63" s="12">
        <v>0</v>
      </c>
      <c r="BE63" s="12">
        <v>0</v>
      </c>
      <c r="BF63" s="12">
        <v>0</v>
      </c>
      <c r="BG63" s="12">
        <v>0</v>
      </c>
      <c r="BH63" s="2"/>
    </row>
    <row r="64" spans="1:60" x14ac:dyDescent="0.2">
      <c r="A64" s="13" t="s">
        <v>8</v>
      </c>
      <c r="B64" s="13">
        <v>1</v>
      </c>
      <c r="C64" s="12" t="s">
        <v>47</v>
      </c>
      <c r="D64" s="13" t="s">
        <v>50</v>
      </c>
      <c r="E64" s="13">
        <v>0.93</v>
      </c>
      <c r="F64" s="13">
        <f t="shared" si="1"/>
        <v>1</v>
      </c>
      <c r="G64" s="13">
        <v>0</v>
      </c>
      <c r="H64" s="12">
        <v>20</v>
      </c>
      <c r="I64" s="13">
        <f t="shared" si="2"/>
        <v>20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12</v>
      </c>
      <c r="R64" s="13">
        <v>0</v>
      </c>
      <c r="S64" s="13">
        <v>8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v>0</v>
      </c>
      <c r="AL64" s="13">
        <v>0</v>
      </c>
      <c r="AM64" s="12">
        <v>0</v>
      </c>
      <c r="AN64" s="12">
        <v>0</v>
      </c>
      <c r="AO64" s="12">
        <v>0</v>
      </c>
      <c r="AP64" s="12">
        <v>0</v>
      </c>
      <c r="AQ64" s="12">
        <v>0</v>
      </c>
      <c r="AR64" s="12">
        <v>0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0</v>
      </c>
      <c r="BH64" s="2"/>
    </row>
    <row r="65" spans="1:60" x14ac:dyDescent="0.2">
      <c r="A65" s="13" t="s">
        <v>8</v>
      </c>
      <c r="B65" s="13">
        <v>1</v>
      </c>
      <c r="C65" s="12" t="s">
        <v>47</v>
      </c>
      <c r="D65" s="13" t="s">
        <v>83</v>
      </c>
      <c r="E65" s="13">
        <v>0.77</v>
      </c>
      <c r="F65" s="13">
        <f t="shared" si="1"/>
        <v>0.7</v>
      </c>
      <c r="G65" s="13">
        <v>0</v>
      </c>
      <c r="H65" s="12">
        <v>20</v>
      </c>
      <c r="I65" s="13">
        <f t="shared" si="2"/>
        <v>14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11</v>
      </c>
      <c r="R65" s="13">
        <v>0</v>
      </c>
      <c r="S65" s="13">
        <v>2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1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 s="12">
        <v>0</v>
      </c>
      <c r="AN65" s="12">
        <v>0</v>
      </c>
      <c r="AO65" s="12">
        <v>0</v>
      </c>
      <c r="AP65" s="12">
        <v>0</v>
      </c>
      <c r="AQ65" s="12">
        <v>0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2"/>
    </row>
    <row r="66" spans="1:60" x14ac:dyDescent="0.2">
      <c r="A66" s="13" t="s">
        <v>8</v>
      </c>
      <c r="B66" s="13">
        <v>1</v>
      </c>
      <c r="C66" s="12" t="s">
        <v>47</v>
      </c>
      <c r="D66" s="13" t="s">
        <v>65</v>
      </c>
      <c r="E66" s="13">
        <v>0.83</v>
      </c>
      <c r="F66" s="13">
        <f t="shared" si="1"/>
        <v>0.85</v>
      </c>
      <c r="G66" s="13">
        <v>0</v>
      </c>
      <c r="H66" s="12">
        <v>20</v>
      </c>
      <c r="I66" s="13">
        <f t="shared" ref="I66:I97" si="3">SUM(J66:AM66)</f>
        <v>17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6</v>
      </c>
      <c r="R66" s="13">
        <v>0</v>
      </c>
      <c r="S66" s="13">
        <v>9</v>
      </c>
      <c r="T66" s="13">
        <v>0</v>
      </c>
      <c r="U66" s="13">
        <v>0</v>
      </c>
      <c r="V66" s="13">
        <v>2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  <c r="AJ66" s="13">
        <v>0</v>
      </c>
      <c r="AK66" s="13">
        <v>0</v>
      </c>
      <c r="AL66" s="13">
        <v>0</v>
      </c>
      <c r="AM66" s="12">
        <v>0</v>
      </c>
      <c r="AN66" s="12">
        <v>0</v>
      </c>
      <c r="AO66" s="12">
        <v>0</v>
      </c>
      <c r="AP66" s="12">
        <v>0</v>
      </c>
      <c r="AQ66" s="12">
        <v>0</v>
      </c>
      <c r="AR66" s="12">
        <v>0</v>
      </c>
      <c r="AS66" s="12">
        <v>0</v>
      </c>
      <c r="AT66" s="12">
        <v>0</v>
      </c>
      <c r="AU66" s="12">
        <v>0</v>
      </c>
      <c r="AV66" s="12">
        <v>0</v>
      </c>
      <c r="AW66" s="12">
        <v>0</v>
      </c>
      <c r="AX66" s="12">
        <v>0</v>
      </c>
      <c r="AY66" s="12">
        <v>0</v>
      </c>
      <c r="AZ66" s="12">
        <v>0</v>
      </c>
      <c r="BA66" s="12">
        <v>0</v>
      </c>
      <c r="BB66" s="12">
        <v>0</v>
      </c>
      <c r="BC66" s="12">
        <v>0</v>
      </c>
      <c r="BD66" s="12">
        <v>0</v>
      </c>
      <c r="BE66" s="12">
        <v>0</v>
      </c>
      <c r="BF66" s="12">
        <v>0</v>
      </c>
      <c r="BG66" s="12">
        <v>0</v>
      </c>
      <c r="BH66" s="2"/>
    </row>
    <row r="67" spans="1:60" x14ac:dyDescent="0.2">
      <c r="A67" s="13" t="s">
        <v>8</v>
      </c>
      <c r="B67" s="13">
        <v>1</v>
      </c>
      <c r="C67" s="12" t="s">
        <v>47</v>
      </c>
      <c r="D67" s="13" t="s">
        <v>74</v>
      </c>
      <c r="E67" s="13">
        <v>0.9</v>
      </c>
      <c r="F67" s="13">
        <f t="shared" si="1"/>
        <v>0.85</v>
      </c>
      <c r="G67" s="13">
        <v>0</v>
      </c>
      <c r="H67" s="12">
        <v>20</v>
      </c>
      <c r="I67" s="13">
        <f t="shared" si="3"/>
        <v>17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1</v>
      </c>
      <c r="P67" s="13">
        <v>0</v>
      </c>
      <c r="Q67" s="13">
        <v>15</v>
      </c>
      <c r="R67" s="13">
        <v>0</v>
      </c>
      <c r="S67" s="13">
        <v>1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0</v>
      </c>
      <c r="AK67" s="13">
        <v>0</v>
      </c>
      <c r="AL67" s="13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2">
        <v>0</v>
      </c>
      <c r="AW67" s="12">
        <v>0</v>
      </c>
      <c r="AX67" s="12">
        <v>0</v>
      </c>
      <c r="AY67" s="12">
        <v>0</v>
      </c>
      <c r="AZ67" s="12">
        <v>0</v>
      </c>
      <c r="BA67" s="12">
        <v>0</v>
      </c>
      <c r="BB67" s="12">
        <v>0</v>
      </c>
      <c r="BC67" s="12">
        <v>0</v>
      </c>
      <c r="BD67" s="12">
        <v>0</v>
      </c>
      <c r="BE67" s="12">
        <v>0</v>
      </c>
      <c r="BF67" s="12">
        <v>0</v>
      </c>
      <c r="BG67" s="12">
        <v>0</v>
      </c>
      <c r="BH67" s="2"/>
    </row>
    <row r="68" spans="1:60" x14ac:dyDescent="0.2">
      <c r="A68" s="13" t="s">
        <v>8</v>
      </c>
      <c r="B68" s="13">
        <v>1</v>
      </c>
      <c r="C68" s="12" t="s">
        <v>47</v>
      </c>
      <c r="D68" s="13" t="s">
        <v>54</v>
      </c>
      <c r="E68" s="13">
        <v>0.89</v>
      </c>
      <c r="F68" s="13">
        <f t="shared" ref="F68:F91" si="4">(I68+G68)/20</f>
        <v>0.8</v>
      </c>
      <c r="G68" s="13">
        <v>0</v>
      </c>
      <c r="H68" s="12">
        <v>20</v>
      </c>
      <c r="I68" s="13">
        <f t="shared" si="3"/>
        <v>16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12</v>
      </c>
      <c r="R68" s="13">
        <v>0</v>
      </c>
      <c r="S68" s="13">
        <v>2</v>
      </c>
      <c r="T68" s="13">
        <v>0</v>
      </c>
      <c r="U68" s="13">
        <v>0</v>
      </c>
      <c r="V68" s="13">
        <v>1</v>
      </c>
      <c r="W68" s="13">
        <v>0</v>
      </c>
      <c r="X68" s="13">
        <v>0</v>
      </c>
      <c r="Y68" s="13">
        <v>0</v>
      </c>
      <c r="Z68" s="13">
        <v>1</v>
      </c>
      <c r="AA68" s="13">
        <v>0</v>
      </c>
      <c r="AB68" s="13">
        <v>0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3">
        <v>0</v>
      </c>
      <c r="AI68" s="13">
        <v>0</v>
      </c>
      <c r="AJ68" s="13">
        <v>0</v>
      </c>
      <c r="AK68" s="13">
        <v>0</v>
      </c>
      <c r="AL68" s="13">
        <v>0</v>
      </c>
      <c r="AM68" s="12">
        <v>0</v>
      </c>
      <c r="AN68" s="12">
        <v>0</v>
      </c>
      <c r="AO68" s="12">
        <v>0</v>
      </c>
      <c r="AP68" s="12">
        <v>0</v>
      </c>
      <c r="AQ68" s="12">
        <v>0</v>
      </c>
      <c r="AR68" s="12">
        <v>0</v>
      </c>
      <c r="AS68" s="12">
        <v>0</v>
      </c>
      <c r="AT68" s="12">
        <v>0</v>
      </c>
      <c r="AU68" s="12">
        <v>0</v>
      </c>
      <c r="AV68" s="12">
        <v>0</v>
      </c>
      <c r="AW68" s="12">
        <v>0</v>
      </c>
      <c r="AX68" s="12">
        <v>0</v>
      </c>
      <c r="AY68" s="12">
        <v>0</v>
      </c>
      <c r="AZ68" s="12">
        <v>0</v>
      </c>
      <c r="BA68" s="12">
        <v>0</v>
      </c>
      <c r="BB68" s="12">
        <v>0</v>
      </c>
      <c r="BC68" s="12">
        <v>0</v>
      </c>
      <c r="BD68" s="12">
        <v>0</v>
      </c>
      <c r="BE68" s="12">
        <v>0</v>
      </c>
      <c r="BF68" s="12">
        <v>0</v>
      </c>
      <c r="BG68" s="12">
        <v>0</v>
      </c>
      <c r="BH68" s="2"/>
    </row>
    <row r="69" spans="1:60" x14ac:dyDescent="0.2">
      <c r="A69" s="13" t="s">
        <v>8</v>
      </c>
      <c r="B69" s="13">
        <v>1</v>
      </c>
      <c r="C69" s="12" t="s">
        <v>47</v>
      </c>
      <c r="D69" s="13" t="s">
        <v>67</v>
      </c>
      <c r="E69" s="13">
        <v>0.86</v>
      </c>
      <c r="F69" s="13">
        <f t="shared" si="4"/>
        <v>0.75</v>
      </c>
      <c r="G69" s="13">
        <v>0</v>
      </c>
      <c r="H69" s="12">
        <v>20</v>
      </c>
      <c r="I69" s="13">
        <f t="shared" si="3"/>
        <v>15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13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1</v>
      </c>
      <c r="Y69" s="13">
        <v>0</v>
      </c>
      <c r="Z69" s="13">
        <v>0</v>
      </c>
      <c r="AA69" s="13">
        <v>0</v>
      </c>
      <c r="AB69" s="13">
        <v>0</v>
      </c>
      <c r="AC69" s="13">
        <v>1</v>
      </c>
      <c r="AD69" s="13">
        <v>0</v>
      </c>
      <c r="AE69" s="13">
        <v>0</v>
      </c>
      <c r="AF69" s="13">
        <v>0</v>
      </c>
      <c r="AG69" s="13">
        <v>0</v>
      </c>
      <c r="AH69" s="13">
        <v>0</v>
      </c>
      <c r="AI69" s="13">
        <v>0</v>
      </c>
      <c r="AJ69" s="13">
        <v>0</v>
      </c>
      <c r="AK69" s="13">
        <v>0</v>
      </c>
      <c r="AL69" s="13">
        <v>0</v>
      </c>
      <c r="AM69" s="12">
        <v>0</v>
      </c>
      <c r="AN69" s="12">
        <v>0</v>
      </c>
      <c r="AO69" s="12">
        <v>0</v>
      </c>
      <c r="AP69" s="12">
        <v>0</v>
      </c>
      <c r="AQ69" s="12">
        <v>0</v>
      </c>
      <c r="AR69" s="12">
        <v>0</v>
      </c>
      <c r="AS69" s="12">
        <v>0</v>
      </c>
      <c r="AT69" s="12">
        <v>0</v>
      </c>
      <c r="AU69" s="12">
        <v>0</v>
      </c>
      <c r="AV69" s="12">
        <v>0</v>
      </c>
      <c r="AW69" s="12">
        <v>0</v>
      </c>
      <c r="AX69" s="12">
        <v>0</v>
      </c>
      <c r="AY69" s="12">
        <v>0</v>
      </c>
      <c r="AZ69" s="12">
        <v>0</v>
      </c>
      <c r="BA69" s="12">
        <v>0</v>
      </c>
      <c r="BB69" s="12">
        <v>0</v>
      </c>
      <c r="BC69" s="12">
        <v>0</v>
      </c>
      <c r="BD69" s="12">
        <v>0</v>
      </c>
      <c r="BE69" s="12">
        <v>0</v>
      </c>
      <c r="BF69" s="12">
        <v>0</v>
      </c>
      <c r="BG69" s="12">
        <v>0</v>
      </c>
      <c r="BH69" s="2"/>
    </row>
    <row r="70" spans="1:60" x14ac:dyDescent="0.2">
      <c r="A70" s="13" t="s">
        <v>8</v>
      </c>
      <c r="B70" s="13">
        <v>1</v>
      </c>
      <c r="C70" s="12" t="s">
        <v>47</v>
      </c>
      <c r="D70" s="13" t="s">
        <v>55</v>
      </c>
      <c r="E70" s="13">
        <v>0.8</v>
      </c>
      <c r="F70" s="13">
        <f t="shared" si="4"/>
        <v>0.65</v>
      </c>
      <c r="G70" s="13">
        <v>0</v>
      </c>
      <c r="H70" s="12">
        <v>20</v>
      </c>
      <c r="I70" s="13">
        <f t="shared" si="3"/>
        <v>13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5</v>
      </c>
      <c r="R70" s="13">
        <v>0</v>
      </c>
      <c r="S70" s="13">
        <v>5</v>
      </c>
      <c r="T70" s="13">
        <v>0</v>
      </c>
      <c r="U70" s="13">
        <v>0</v>
      </c>
      <c r="V70" s="13">
        <v>3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v>0</v>
      </c>
      <c r="AL70" s="13">
        <v>0</v>
      </c>
      <c r="AM70" s="12">
        <v>0</v>
      </c>
      <c r="AN70" s="12">
        <v>0</v>
      </c>
      <c r="AO70" s="12">
        <v>0</v>
      </c>
      <c r="AP70" s="12">
        <v>0</v>
      </c>
      <c r="AQ70" s="12">
        <v>0</v>
      </c>
      <c r="AR70" s="12">
        <v>0</v>
      </c>
      <c r="AS70" s="12">
        <v>0</v>
      </c>
      <c r="AT70" s="12">
        <v>0</v>
      </c>
      <c r="AU70" s="12">
        <v>0</v>
      </c>
      <c r="AV70" s="12">
        <v>0</v>
      </c>
      <c r="AW70" s="12">
        <v>0</v>
      </c>
      <c r="AX70" s="12">
        <v>0</v>
      </c>
      <c r="AY70" s="12">
        <v>0</v>
      </c>
      <c r="AZ70" s="12">
        <v>0</v>
      </c>
      <c r="BA70" s="12">
        <v>0</v>
      </c>
      <c r="BB70" s="12">
        <v>0</v>
      </c>
      <c r="BC70" s="12">
        <v>0</v>
      </c>
      <c r="BD70" s="12">
        <v>0</v>
      </c>
      <c r="BE70" s="12">
        <v>0</v>
      </c>
      <c r="BF70" s="12">
        <v>0</v>
      </c>
      <c r="BG70" s="12">
        <v>0</v>
      </c>
      <c r="BH70" s="2"/>
    </row>
    <row r="71" spans="1:60" x14ac:dyDescent="0.2">
      <c r="A71" s="13" t="s">
        <v>8</v>
      </c>
      <c r="B71" s="13">
        <v>1</v>
      </c>
      <c r="C71" s="12" t="s">
        <v>47</v>
      </c>
      <c r="D71" s="13" t="s">
        <v>75</v>
      </c>
      <c r="E71" s="13">
        <v>0.88</v>
      </c>
      <c r="F71" s="13">
        <f t="shared" si="4"/>
        <v>0.75</v>
      </c>
      <c r="G71" s="13">
        <v>0</v>
      </c>
      <c r="H71" s="12">
        <v>20</v>
      </c>
      <c r="I71" s="13">
        <f t="shared" si="3"/>
        <v>15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9</v>
      </c>
      <c r="T71" s="13">
        <v>0</v>
      </c>
      <c r="U71" s="13">
        <v>0</v>
      </c>
      <c r="V71" s="13">
        <v>2</v>
      </c>
      <c r="W71" s="13">
        <v>0</v>
      </c>
      <c r="X71" s="13">
        <v>2</v>
      </c>
      <c r="Y71" s="13">
        <v>0</v>
      </c>
      <c r="Z71" s="13">
        <v>0</v>
      </c>
      <c r="AA71" s="13">
        <v>0</v>
      </c>
      <c r="AB71" s="13">
        <v>0</v>
      </c>
      <c r="AC71" s="13">
        <v>1</v>
      </c>
      <c r="AD71" s="13">
        <v>0</v>
      </c>
      <c r="AE71" s="13">
        <v>1</v>
      </c>
      <c r="AF71" s="13">
        <v>0</v>
      </c>
      <c r="AG71" s="13">
        <v>0</v>
      </c>
      <c r="AH71" s="13">
        <v>0</v>
      </c>
      <c r="AI71" s="13">
        <v>0</v>
      </c>
      <c r="AJ71" s="13">
        <v>0</v>
      </c>
      <c r="AK71" s="13">
        <v>0</v>
      </c>
      <c r="AL71" s="13">
        <v>0</v>
      </c>
      <c r="AM71" s="12">
        <v>0</v>
      </c>
      <c r="AN71" s="12">
        <v>0</v>
      </c>
      <c r="AO71" s="12">
        <v>0</v>
      </c>
      <c r="AP71" s="12">
        <v>0</v>
      </c>
      <c r="AQ71" s="12">
        <v>0</v>
      </c>
      <c r="AR71" s="12">
        <v>0</v>
      </c>
      <c r="AS71" s="12">
        <v>0</v>
      </c>
      <c r="AT71" s="12">
        <v>0</v>
      </c>
      <c r="AU71" s="12">
        <v>0</v>
      </c>
      <c r="AV71" s="12">
        <v>0</v>
      </c>
      <c r="AW71" s="12">
        <v>0</v>
      </c>
      <c r="AX71" s="12">
        <v>0</v>
      </c>
      <c r="AY71" s="12">
        <v>0</v>
      </c>
      <c r="AZ71" s="12">
        <v>0</v>
      </c>
      <c r="BA71" s="12">
        <v>0</v>
      </c>
      <c r="BB71" s="12">
        <v>0</v>
      </c>
      <c r="BC71" s="12">
        <v>0</v>
      </c>
      <c r="BD71" s="12">
        <v>0</v>
      </c>
      <c r="BE71" s="12">
        <v>0</v>
      </c>
      <c r="BF71" s="12">
        <v>0</v>
      </c>
      <c r="BG71" s="12">
        <v>0</v>
      </c>
      <c r="BH71" s="2"/>
    </row>
    <row r="72" spans="1:60" x14ac:dyDescent="0.2">
      <c r="A72" s="13" t="s">
        <v>8</v>
      </c>
      <c r="B72" s="13">
        <v>1</v>
      </c>
      <c r="C72" s="12" t="s">
        <v>47</v>
      </c>
      <c r="D72" s="13" t="s">
        <v>56</v>
      </c>
      <c r="E72" s="13">
        <v>0.89</v>
      </c>
      <c r="F72" s="13">
        <f t="shared" si="4"/>
        <v>0.9</v>
      </c>
      <c r="G72" s="13">
        <v>0</v>
      </c>
      <c r="H72" s="12">
        <v>20</v>
      </c>
      <c r="I72" s="13">
        <f t="shared" si="3"/>
        <v>18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16</v>
      </c>
      <c r="T72" s="13">
        <v>0</v>
      </c>
      <c r="U72" s="13">
        <v>0</v>
      </c>
      <c r="V72" s="13">
        <v>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>
        <v>0</v>
      </c>
      <c r="AJ72" s="13">
        <v>0</v>
      </c>
      <c r="AK72" s="13">
        <v>0</v>
      </c>
      <c r="AL72" s="13">
        <v>0</v>
      </c>
      <c r="AM72" s="12">
        <v>0</v>
      </c>
      <c r="AN72" s="12">
        <v>0</v>
      </c>
      <c r="AO72" s="12">
        <v>0</v>
      </c>
      <c r="AP72" s="12">
        <v>0</v>
      </c>
      <c r="AQ72" s="12">
        <v>0</v>
      </c>
      <c r="AR72" s="12">
        <v>0</v>
      </c>
      <c r="AS72" s="12">
        <v>0</v>
      </c>
      <c r="AT72" s="12">
        <v>0</v>
      </c>
      <c r="AU72" s="12">
        <v>0</v>
      </c>
      <c r="AV72" s="12">
        <v>0</v>
      </c>
      <c r="AW72" s="12">
        <v>0</v>
      </c>
      <c r="AX72" s="12">
        <v>0</v>
      </c>
      <c r="AY72" s="12">
        <v>0</v>
      </c>
      <c r="AZ72" s="12">
        <v>0</v>
      </c>
      <c r="BA72" s="12">
        <v>0</v>
      </c>
      <c r="BB72" s="12">
        <v>0</v>
      </c>
      <c r="BC72" s="12">
        <v>0</v>
      </c>
      <c r="BD72" s="12">
        <v>0</v>
      </c>
      <c r="BE72" s="12">
        <v>0</v>
      </c>
      <c r="BF72" s="12">
        <v>0</v>
      </c>
      <c r="BG72" s="12">
        <v>0</v>
      </c>
      <c r="BH72" s="2"/>
    </row>
    <row r="73" spans="1:60" x14ac:dyDescent="0.2">
      <c r="A73" s="13" t="s">
        <v>8</v>
      </c>
      <c r="B73" s="13">
        <v>1</v>
      </c>
      <c r="C73" s="12" t="s">
        <v>47</v>
      </c>
      <c r="D73" s="13" t="s">
        <v>69</v>
      </c>
      <c r="E73" s="13">
        <v>0.82</v>
      </c>
      <c r="F73" s="13">
        <f t="shared" si="4"/>
        <v>0.8</v>
      </c>
      <c r="G73" s="13">
        <v>0</v>
      </c>
      <c r="H73" s="12">
        <v>20</v>
      </c>
      <c r="I73" s="13">
        <f t="shared" si="3"/>
        <v>16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12</v>
      </c>
      <c r="R73" s="13">
        <v>0</v>
      </c>
      <c r="S73" s="13">
        <v>4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13">
        <v>0</v>
      </c>
      <c r="AF73" s="13">
        <v>0</v>
      </c>
      <c r="AG73" s="13">
        <v>0</v>
      </c>
      <c r="AH73" s="13">
        <v>0</v>
      </c>
      <c r="AI73" s="13">
        <v>0</v>
      </c>
      <c r="AJ73" s="13">
        <v>0</v>
      </c>
      <c r="AK73" s="13">
        <v>0</v>
      </c>
      <c r="AL73" s="13">
        <v>0</v>
      </c>
      <c r="AM73" s="12">
        <v>0</v>
      </c>
      <c r="AN73" s="12">
        <v>0</v>
      </c>
      <c r="AO73" s="12">
        <v>0</v>
      </c>
      <c r="AP73" s="12">
        <v>0</v>
      </c>
      <c r="AQ73" s="12">
        <v>0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2"/>
    </row>
    <row r="74" spans="1:60" x14ac:dyDescent="0.2">
      <c r="A74" s="13" t="s">
        <v>8</v>
      </c>
      <c r="B74" s="13">
        <v>1</v>
      </c>
      <c r="C74" s="12" t="s">
        <v>47</v>
      </c>
      <c r="D74" s="13" t="s">
        <v>77</v>
      </c>
      <c r="E74" s="13">
        <v>0.83</v>
      </c>
      <c r="F74" s="13">
        <f t="shared" si="4"/>
        <v>0.8</v>
      </c>
      <c r="G74" s="13">
        <v>0</v>
      </c>
      <c r="H74" s="12">
        <v>20</v>
      </c>
      <c r="I74" s="13">
        <f t="shared" si="3"/>
        <v>16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3</v>
      </c>
      <c r="R74" s="13">
        <v>0</v>
      </c>
      <c r="S74" s="13">
        <v>11</v>
      </c>
      <c r="T74" s="13">
        <v>0</v>
      </c>
      <c r="U74" s="13">
        <v>0</v>
      </c>
      <c r="V74" s="13">
        <v>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0</v>
      </c>
      <c r="AE74" s="13">
        <v>0</v>
      </c>
      <c r="AF74" s="13">
        <v>0</v>
      </c>
      <c r="AG74" s="13">
        <v>0</v>
      </c>
      <c r="AH74" s="13">
        <v>0</v>
      </c>
      <c r="AI74" s="13">
        <v>0</v>
      </c>
      <c r="AJ74" s="13">
        <v>0</v>
      </c>
      <c r="AK74" s="13">
        <v>0</v>
      </c>
      <c r="AL74" s="13">
        <v>0</v>
      </c>
      <c r="AM74" s="12">
        <v>0</v>
      </c>
      <c r="AN74" s="12">
        <v>0</v>
      </c>
      <c r="AO74" s="12">
        <v>0</v>
      </c>
      <c r="AP74" s="12">
        <v>0</v>
      </c>
      <c r="AQ74" s="12">
        <v>0</v>
      </c>
      <c r="AR74" s="12">
        <v>0</v>
      </c>
      <c r="AS74" s="12">
        <v>0</v>
      </c>
      <c r="AT74" s="12">
        <v>0</v>
      </c>
      <c r="AU74" s="12">
        <v>0</v>
      </c>
      <c r="AV74" s="12">
        <v>0</v>
      </c>
      <c r="AW74" s="12">
        <v>0</v>
      </c>
      <c r="AX74" s="12">
        <v>0</v>
      </c>
      <c r="AY74" s="12">
        <v>0</v>
      </c>
      <c r="AZ74" s="12">
        <v>0</v>
      </c>
      <c r="BA74" s="12">
        <v>0</v>
      </c>
      <c r="BB74" s="12">
        <v>0</v>
      </c>
      <c r="BC74" s="12">
        <v>0</v>
      </c>
      <c r="BD74" s="12">
        <v>0</v>
      </c>
      <c r="BE74" s="12">
        <v>0</v>
      </c>
      <c r="BF74" s="12">
        <v>0</v>
      </c>
      <c r="BG74" s="12">
        <v>0</v>
      </c>
      <c r="BH74" s="2"/>
    </row>
    <row r="75" spans="1:60" x14ac:dyDescent="0.2">
      <c r="A75" s="13" t="s">
        <v>8</v>
      </c>
      <c r="B75" s="13">
        <v>1</v>
      </c>
      <c r="C75" s="12" t="s">
        <v>47</v>
      </c>
      <c r="D75" s="13" t="s">
        <v>79</v>
      </c>
      <c r="E75" s="13">
        <v>0.28000000000000003</v>
      </c>
      <c r="F75" s="13">
        <f t="shared" si="4"/>
        <v>0.2</v>
      </c>
      <c r="G75" s="13">
        <v>0</v>
      </c>
      <c r="H75" s="12">
        <v>20</v>
      </c>
      <c r="I75" s="13">
        <f t="shared" si="3"/>
        <v>4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3</v>
      </c>
      <c r="R75" s="13">
        <v>0</v>
      </c>
      <c r="S75" s="13">
        <v>1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13">
        <v>0</v>
      </c>
      <c r="AF75" s="13">
        <v>0</v>
      </c>
      <c r="AG75" s="13">
        <v>0</v>
      </c>
      <c r="AH75" s="13">
        <v>0</v>
      </c>
      <c r="AI75" s="13">
        <v>0</v>
      </c>
      <c r="AJ75" s="13">
        <v>0</v>
      </c>
      <c r="AK75" s="13">
        <v>0</v>
      </c>
      <c r="AL75" s="13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2">
        <v>0</v>
      </c>
      <c r="AW75" s="12">
        <v>0</v>
      </c>
      <c r="AX75" s="12">
        <v>0</v>
      </c>
      <c r="AY75" s="12">
        <v>0</v>
      </c>
      <c r="AZ75" s="12">
        <v>0</v>
      </c>
      <c r="BA75" s="12">
        <v>0</v>
      </c>
      <c r="BB75" s="12">
        <v>0</v>
      </c>
      <c r="BC75" s="12">
        <v>0</v>
      </c>
      <c r="BD75" s="12">
        <v>0</v>
      </c>
      <c r="BE75" s="12">
        <v>0</v>
      </c>
      <c r="BF75" s="12">
        <v>0</v>
      </c>
      <c r="BG75" s="12">
        <v>0</v>
      </c>
      <c r="BH75" s="2"/>
    </row>
    <row r="76" spans="1:60" s="6" customFormat="1" x14ac:dyDescent="0.2">
      <c r="A76" s="13" t="s">
        <v>8</v>
      </c>
      <c r="B76" s="14">
        <v>1</v>
      </c>
      <c r="C76" s="12" t="s">
        <v>47</v>
      </c>
      <c r="D76" s="14" t="s">
        <v>62</v>
      </c>
      <c r="E76" s="14">
        <v>0.77</v>
      </c>
      <c r="F76" s="14">
        <f t="shared" si="4"/>
        <v>0.7</v>
      </c>
      <c r="G76" s="14">
        <v>0</v>
      </c>
      <c r="H76" s="12">
        <v>20</v>
      </c>
      <c r="I76" s="14">
        <f t="shared" si="3"/>
        <v>14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4</v>
      </c>
      <c r="R76" s="14">
        <v>0</v>
      </c>
      <c r="S76" s="14">
        <v>9</v>
      </c>
      <c r="T76" s="14">
        <v>0</v>
      </c>
      <c r="U76" s="14">
        <v>0</v>
      </c>
      <c r="V76" s="14">
        <v>1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>
        <v>0</v>
      </c>
      <c r="AH76" s="14">
        <v>0</v>
      </c>
      <c r="AI76" s="14">
        <v>0</v>
      </c>
      <c r="AJ76" s="14">
        <v>0</v>
      </c>
      <c r="AK76" s="14">
        <v>0</v>
      </c>
      <c r="AL76" s="14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0</v>
      </c>
      <c r="BE76" s="12">
        <v>0</v>
      </c>
      <c r="BF76" s="12">
        <v>0</v>
      </c>
      <c r="BG76" s="12">
        <v>0</v>
      </c>
      <c r="BH76" s="2"/>
    </row>
    <row r="77" spans="1:60" x14ac:dyDescent="0.2">
      <c r="A77" s="13" t="s">
        <v>9</v>
      </c>
      <c r="B77" s="13">
        <v>1</v>
      </c>
      <c r="C77" s="12" t="s">
        <v>47</v>
      </c>
      <c r="D77" s="13" t="s">
        <v>72</v>
      </c>
      <c r="E77" s="13">
        <v>0.64</v>
      </c>
      <c r="F77" s="13">
        <f t="shared" si="4"/>
        <v>0</v>
      </c>
      <c r="G77" s="13">
        <v>0</v>
      </c>
      <c r="H77" s="12">
        <v>20</v>
      </c>
      <c r="I77" s="13">
        <f t="shared" si="3"/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>
        <v>0</v>
      </c>
      <c r="AL77" s="13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2"/>
    </row>
    <row r="78" spans="1:60" x14ac:dyDescent="0.2">
      <c r="A78" s="13" t="s">
        <v>9</v>
      </c>
      <c r="B78" s="13">
        <v>1</v>
      </c>
      <c r="C78" s="12" t="s">
        <v>47</v>
      </c>
      <c r="D78" s="13" t="s">
        <v>82</v>
      </c>
      <c r="E78" s="13">
        <v>0.96</v>
      </c>
      <c r="F78" s="13">
        <f t="shared" si="4"/>
        <v>0.9</v>
      </c>
      <c r="G78" s="13">
        <v>0</v>
      </c>
      <c r="H78" s="12">
        <v>20</v>
      </c>
      <c r="I78" s="13">
        <f t="shared" si="3"/>
        <v>18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17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1</v>
      </c>
      <c r="AD78" s="13">
        <v>0</v>
      </c>
      <c r="AE78" s="13">
        <v>0</v>
      </c>
      <c r="AF78" s="13">
        <v>0</v>
      </c>
      <c r="AG78" s="13">
        <v>0</v>
      </c>
      <c r="AH78" s="13">
        <v>0</v>
      </c>
      <c r="AI78" s="13">
        <v>0</v>
      </c>
      <c r="AJ78" s="13">
        <v>0</v>
      </c>
      <c r="AK78" s="13">
        <v>0</v>
      </c>
      <c r="AL78" s="13">
        <v>0</v>
      </c>
      <c r="AM78" s="12">
        <v>0</v>
      </c>
      <c r="AN78" s="12">
        <v>0</v>
      </c>
      <c r="AO78" s="12">
        <v>0</v>
      </c>
      <c r="AP78" s="12">
        <v>0</v>
      </c>
      <c r="AQ78" s="12">
        <v>0</v>
      </c>
      <c r="AR78" s="12">
        <v>0</v>
      </c>
      <c r="AS78" s="12">
        <v>0</v>
      </c>
      <c r="AT78" s="12">
        <v>0</v>
      </c>
      <c r="AU78" s="12">
        <v>0</v>
      </c>
      <c r="AV78" s="12">
        <v>0</v>
      </c>
      <c r="AW78" s="12">
        <v>0</v>
      </c>
      <c r="AX78" s="12">
        <v>0</v>
      </c>
      <c r="AY78" s="12">
        <v>0</v>
      </c>
      <c r="AZ78" s="12">
        <v>0</v>
      </c>
      <c r="BA78" s="12">
        <v>0</v>
      </c>
      <c r="BB78" s="12">
        <v>0</v>
      </c>
      <c r="BC78" s="12">
        <v>0</v>
      </c>
      <c r="BD78" s="12">
        <v>0</v>
      </c>
      <c r="BE78" s="12">
        <v>0</v>
      </c>
      <c r="BF78" s="12">
        <v>0</v>
      </c>
      <c r="BG78" s="12">
        <v>0</v>
      </c>
      <c r="BH78" s="2"/>
    </row>
    <row r="79" spans="1:60" s="5" customFormat="1" x14ac:dyDescent="0.2">
      <c r="A79" s="13" t="s">
        <v>9</v>
      </c>
      <c r="B79" s="13">
        <v>1</v>
      </c>
      <c r="C79" s="12" t="s">
        <v>47</v>
      </c>
      <c r="D79" s="13" t="s">
        <v>53</v>
      </c>
      <c r="E79" s="13">
        <v>0.85</v>
      </c>
      <c r="F79" s="13">
        <f t="shared" si="4"/>
        <v>0.65</v>
      </c>
      <c r="G79" s="13">
        <v>0</v>
      </c>
      <c r="H79" s="12">
        <v>20</v>
      </c>
      <c r="I79" s="13">
        <f t="shared" ref="I79:I87" si="5">SUM(J79:AV79)</f>
        <v>13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6</v>
      </c>
      <c r="W79" s="13">
        <v>0</v>
      </c>
      <c r="X79" s="13">
        <v>3</v>
      </c>
      <c r="Y79" s="13">
        <v>0</v>
      </c>
      <c r="Z79" s="13">
        <v>1</v>
      </c>
      <c r="AA79" s="13">
        <v>0</v>
      </c>
      <c r="AB79" s="13">
        <v>0</v>
      </c>
      <c r="AC79" s="13">
        <v>1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0</v>
      </c>
      <c r="AK79" s="13">
        <v>0</v>
      </c>
      <c r="AL79" s="13">
        <v>2</v>
      </c>
      <c r="AM79" s="13">
        <v>0</v>
      </c>
      <c r="AN79" s="13">
        <v>0</v>
      </c>
      <c r="AO79" s="13">
        <v>0</v>
      </c>
      <c r="AP79" s="13">
        <v>0</v>
      </c>
      <c r="AQ79" s="13">
        <v>0</v>
      </c>
      <c r="AR79" s="13">
        <v>0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</row>
    <row r="80" spans="1:60" x14ac:dyDescent="0.2">
      <c r="A80" s="13" t="s">
        <v>9</v>
      </c>
      <c r="B80" s="13">
        <v>1</v>
      </c>
      <c r="C80" s="12" t="s">
        <v>47</v>
      </c>
      <c r="D80" s="13" t="s">
        <v>88</v>
      </c>
      <c r="E80" s="13">
        <v>0.87</v>
      </c>
      <c r="F80" s="13">
        <f t="shared" si="4"/>
        <v>0.95</v>
      </c>
      <c r="G80" s="13">
        <v>0</v>
      </c>
      <c r="H80" s="12">
        <v>20</v>
      </c>
      <c r="I80" s="13">
        <f t="shared" ref="I80:I86" si="6">SUM(J80:AV80)</f>
        <v>19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10</v>
      </c>
      <c r="W80" s="13">
        <v>0</v>
      </c>
      <c r="X80" s="13">
        <v>6</v>
      </c>
      <c r="Y80" s="13">
        <v>0</v>
      </c>
      <c r="Z80" s="13">
        <v>1</v>
      </c>
      <c r="AA80" s="13">
        <v>0</v>
      </c>
      <c r="AB80" s="13">
        <v>0</v>
      </c>
      <c r="AC80" s="13">
        <v>2</v>
      </c>
      <c r="AD80" s="13">
        <v>0</v>
      </c>
      <c r="AE80" s="13">
        <v>0</v>
      </c>
      <c r="AF80" s="13">
        <v>0</v>
      </c>
      <c r="AG80" s="13">
        <v>0</v>
      </c>
      <c r="AH80" s="13">
        <v>0</v>
      </c>
      <c r="AI80" s="13">
        <v>0</v>
      </c>
      <c r="AJ80" s="13">
        <v>0</v>
      </c>
      <c r="AK80" s="13">
        <v>0</v>
      </c>
      <c r="AL80" s="13">
        <v>0</v>
      </c>
      <c r="AM80" s="15">
        <v>0</v>
      </c>
      <c r="AN80" s="15">
        <v>0</v>
      </c>
      <c r="AO80" s="15">
        <v>0</v>
      </c>
      <c r="AP80" s="15">
        <v>0</v>
      </c>
      <c r="AQ80" s="15">
        <v>0</v>
      </c>
      <c r="AR80" s="15">
        <v>0</v>
      </c>
      <c r="AS80" s="15">
        <v>0</v>
      </c>
      <c r="AT80" s="15">
        <v>0</v>
      </c>
      <c r="AU80" s="15">
        <v>0</v>
      </c>
      <c r="AV80" s="15">
        <v>0</v>
      </c>
      <c r="AW80" s="15">
        <v>0</v>
      </c>
      <c r="AX80" s="15">
        <v>0</v>
      </c>
      <c r="AY80" s="15">
        <v>0</v>
      </c>
      <c r="AZ80" s="15">
        <v>0</v>
      </c>
      <c r="BA80" s="15">
        <v>0</v>
      </c>
      <c r="BB80" s="15">
        <v>0</v>
      </c>
      <c r="BC80" s="15">
        <v>0</v>
      </c>
      <c r="BD80" s="15">
        <v>0</v>
      </c>
      <c r="BE80" s="15">
        <v>0</v>
      </c>
      <c r="BF80" s="15">
        <v>0</v>
      </c>
      <c r="BG80" s="15">
        <v>0</v>
      </c>
    </row>
    <row r="81" spans="1:59" x14ac:dyDescent="0.2">
      <c r="A81" s="13" t="s">
        <v>9</v>
      </c>
      <c r="B81" s="13">
        <v>1</v>
      </c>
      <c r="C81" s="12" t="s">
        <v>47</v>
      </c>
      <c r="D81" s="13" t="s">
        <v>83</v>
      </c>
      <c r="E81" s="13">
        <v>0.77</v>
      </c>
      <c r="F81" s="13">
        <f t="shared" si="4"/>
        <v>1</v>
      </c>
      <c r="G81" s="13">
        <v>0</v>
      </c>
      <c r="H81" s="12">
        <v>20</v>
      </c>
      <c r="I81" s="13">
        <f t="shared" si="6"/>
        <v>20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7</v>
      </c>
      <c r="T81" s="13">
        <v>0</v>
      </c>
      <c r="U81" s="13">
        <v>0</v>
      </c>
      <c r="V81" s="13">
        <v>13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0</v>
      </c>
      <c r="AH81" s="13">
        <v>0</v>
      </c>
      <c r="AI81" s="13">
        <v>0</v>
      </c>
      <c r="AJ81" s="13">
        <v>0</v>
      </c>
      <c r="AK81" s="13">
        <v>0</v>
      </c>
      <c r="AL81" s="13">
        <v>0</v>
      </c>
      <c r="AM81" s="15">
        <v>0</v>
      </c>
      <c r="AN81" s="15">
        <v>0</v>
      </c>
      <c r="AO81" s="15">
        <v>0</v>
      </c>
      <c r="AP81" s="15">
        <v>0</v>
      </c>
      <c r="AQ81" s="15">
        <v>0</v>
      </c>
      <c r="AR81" s="15">
        <v>0</v>
      </c>
      <c r="AS81" s="15">
        <v>0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15">
        <v>0</v>
      </c>
      <c r="BB81" s="15">
        <v>0</v>
      </c>
      <c r="BC81" s="15">
        <v>0</v>
      </c>
      <c r="BD81" s="15">
        <v>0</v>
      </c>
      <c r="BE81" s="15">
        <v>0</v>
      </c>
      <c r="BF81" s="15">
        <v>0</v>
      </c>
      <c r="BG81" s="15">
        <v>0</v>
      </c>
    </row>
    <row r="82" spans="1:59" x14ac:dyDescent="0.2">
      <c r="A82" s="13" t="s">
        <v>9</v>
      </c>
      <c r="B82" s="13">
        <v>1</v>
      </c>
      <c r="C82" s="12" t="s">
        <v>47</v>
      </c>
      <c r="D82" s="13" t="s">
        <v>84</v>
      </c>
      <c r="E82" s="13">
        <v>0.57999999999999996</v>
      </c>
      <c r="F82" s="13">
        <f t="shared" si="4"/>
        <v>0.6</v>
      </c>
      <c r="G82" s="13">
        <v>0</v>
      </c>
      <c r="H82" s="12">
        <v>20</v>
      </c>
      <c r="I82" s="13">
        <f t="shared" si="6"/>
        <v>12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11</v>
      </c>
      <c r="W82" s="13">
        <v>0</v>
      </c>
      <c r="X82" s="13">
        <v>1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0</v>
      </c>
      <c r="AE82" s="13">
        <v>0</v>
      </c>
      <c r="AF82" s="13">
        <v>0</v>
      </c>
      <c r="AG82" s="13">
        <v>0</v>
      </c>
      <c r="AH82" s="13">
        <v>0</v>
      </c>
      <c r="AI82" s="13">
        <v>0</v>
      </c>
      <c r="AJ82" s="13">
        <v>0</v>
      </c>
      <c r="AK82" s="13">
        <v>0</v>
      </c>
      <c r="AL82" s="13">
        <v>0</v>
      </c>
      <c r="AM82" s="15">
        <v>0</v>
      </c>
      <c r="AN82" s="15">
        <v>0</v>
      </c>
      <c r="AO82" s="15">
        <v>0</v>
      </c>
      <c r="AP82" s="15">
        <v>0</v>
      </c>
      <c r="AQ82" s="15">
        <v>0</v>
      </c>
      <c r="AR82" s="15">
        <v>0</v>
      </c>
      <c r="AS82" s="15">
        <v>0</v>
      </c>
      <c r="AT82" s="15">
        <v>0</v>
      </c>
      <c r="AU82" s="15">
        <v>0</v>
      </c>
      <c r="AV82" s="15">
        <v>0</v>
      </c>
      <c r="AW82" s="15">
        <v>0</v>
      </c>
      <c r="AX82" s="15">
        <v>0</v>
      </c>
      <c r="AY82" s="15">
        <v>0</v>
      </c>
      <c r="AZ82" s="15">
        <v>0</v>
      </c>
      <c r="BA82" s="15">
        <v>0</v>
      </c>
      <c r="BB82" s="15">
        <v>0</v>
      </c>
      <c r="BC82" s="15">
        <v>0</v>
      </c>
      <c r="BD82" s="15">
        <v>0</v>
      </c>
      <c r="BE82" s="15">
        <v>0</v>
      </c>
      <c r="BF82" s="15">
        <v>0</v>
      </c>
      <c r="BG82" s="15">
        <v>0</v>
      </c>
    </row>
    <row r="83" spans="1:59" x14ac:dyDescent="0.2">
      <c r="A83" s="13" t="s">
        <v>9</v>
      </c>
      <c r="B83" s="13">
        <v>1</v>
      </c>
      <c r="C83" s="12" t="s">
        <v>47</v>
      </c>
      <c r="D83" s="13" t="s">
        <v>54</v>
      </c>
      <c r="E83" s="13">
        <v>0.89</v>
      </c>
      <c r="F83" s="13">
        <f t="shared" si="4"/>
        <v>0.9</v>
      </c>
      <c r="G83" s="13">
        <v>0</v>
      </c>
      <c r="H83" s="12">
        <v>20</v>
      </c>
      <c r="I83" s="13">
        <f t="shared" si="6"/>
        <v>18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11</v>
      </c>
      <c r="T83" s="13">
        <v>0</v>
      </c>
      <c r="U83" s="13">
        <v>0</v>
      </c>
      <c r="V83" s="13">
        <v>6</v>
      </c>
      <c r="W83" s="13">
        <v>0</v>
      </c>
      <c r="X83" s="13">
        <v>1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13">
        <v>0</v>
      </c>
      <c r="AF83" s="13">
        <v>0</v>
      </c>
      <c r="AG83" s="13">
        <v>0</v>
      </c>
      <c r="AH83" s="13">
        <v>0</v>
      </c>
      <c r="AI83" s="13">
        <v>0</v>
      </c>
      <c r="AJ83" s="13">
        <v>0</v>
      </c>
      <c r="AK83" s="13">
        <v>0</v>
      </c>
      <c r="AL83" s="13">
        <v>0</v>
      </c>
      <c r="AM83" s="15">
        <v>0</v>
      </c>
      <c r="AN83" s="15">
        <v>0</v>
      </c>
      <c r="AO83" s="15">
        <v>0</v>
      </c>
      <c r="AP83" s="15">
        <v>0</v>
      </c>
      <c r="AQ83" s="15">
        <v>0</v>
      </c>
      <c r="AR83" s="15">
        <v>0</v>
      </c>
      <c r="AS83" s="15">
        <v>0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15">
        <v>0</v>
      </c>
      <c r="BB83" s="15">
        <v>0</v>
      </c>
      <c r="BC83" s="15">
        <v>0</v>
      </c>
      <c r="BD83" s="15">
        <v>0</v>
      </c>
      <c r="BE83" s="15">
        <v>0</v>
      </c>
      <c r="BF83" s="15">
        <v>0</v>
      </c>
      <c r="BG83" s="15">
        <v>0</v>
      </c>
    </row>
    <row r="84" spans="1:59" x14ac:dyDescent="0.2">
      <c r="A84" s="13" t="s">
        <v>9</v>
      </c>
      <c r="B84" s="13">
        <v>1</v>
      </c>
      <c r="C84" s="12" t="s">
        <v>47</v>
      </c>
      <c r="D84" s="13" t="s">
        <v>85</v>
      </c>
      <c r="E84" s="13">
        <v>0.92</v>
      </c>
      <c r="F84" s="13">
        <f t="shared" si="4"/>
        <v>1</v>
      </c>
      <c r="G84" s="13">
        <v>0</v>
      </c>
      <c r="H84" s="12">
        <v>20</v>
      </c>
      <c r="I84" s="13">
        <f t="shared" si="6"/>
        <v>20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9</v>
      </c>
      <c r="T84" s="13">
        <v>0</v>
      </c>
      <c r="U84" s="13">
        <v>0</v>
      </c>
      <c r="V84" s="13">
        <v>11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0</v>
      </c>
      <c r="AE84" s="13">
        <v>0</v>
      </c>
      <c r="AF84" s="13">
        <v>0</v>
      </c>
      <c r="AG84" s="13">
        <v>0</v>
      </c>
      <c r="AH84" s="13">
        <v>0</v>
      </c>
      <c r="AI84" s="13">
        <v>0</v>
      </c>
      <c r="AJ84" s="13">
        <v>0</v>
      </c>
      <c r="AK84" s="13">
        <v>0</v>
      </c>
      <c r="AL84" s="13">
        <v>0</v>
      </c>
      <c r="AM84" s="15">
        <v>0</v>
      </c>
      <c r="AN84" s="15">
        <v>0</v>
      </c>
      <c r="AO84" s="15">
        <v>0</v>
      </c>
      <c r="AP84" s="15">
        <v>0</v>
      </c>
      <c r="AQ84" s="15">
        <v>0</v>
      </c>
      <c r="AR84" s="15">
        <v>0</v>
      </c>
      <c r="AS84" s="15">
        <v>0</v>
      </c>
      <c r="AT84" s="15">
        <v>0</v>
      </c>
      <c r="AU84" s="15">
        <v>0</v>
      </c>
      <c r="AV84" s="15">
        <v>0</v>
      </c>
      <c r="AW84" s="15">
        <v>0</v>
      </c>
      <c r="AX84" s="15">
        <v>0</v>
      </c>
      <c r="AY84" s="15">
        <v>0</v>
      </c>
      <c r="AZ84" s="15">
        <v>0</v>
      </c>
      <c r="BA84" s="15">
        <v>0</v>
      </c>
      <c r="BB84" s="15">
        <v>0</v>
      </c>
      <c r="BC84" s="15">
        <v>0</v>
      </c>
      <c r="BD84" s="15">
        <v>0</v>
      </c>
      <c r="BE84" s="15">
        <v>0</v>
      </c>
      <c r="BF84" s="15">
        <v>0</v>
      </c>
      <c r="BG84" s="15">
        <v>0</v>
      </c>
    </row>
    <row r="85" spans="1:59" x14ac:dyDescent="0.2">
      <c r="A85" s="13" t="s">
        <v>9</v>
      </c>
      <c r="B85" s="13">
        <v>1</v>
      </c>
      <c r="C85" s="12" t="s">
        <v>47</v>
      </c>
      <c r="D85" s="13" t="s">
        <v>89</v>
      </c>
      <c r="E85" s="13">
        <v>0.7</v>
      </c>
      <c r="F85" s="13">
        <f t="shared" si="4"/>
        <v>0.2</v>
      </c>
      <c r="G85" s="13">
        <v>3</v>
      </c>
      <c r="H85" s="12">
        <v>20</v>
      </c>
      <c r="I85" s="13">
        <f t="shared" si="6"/>
        <v>1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1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0</v>
      </c>
      <c r="AB85" s="13">
        <v>0</v>
      </c>
      <c r="AC85" s="13">
        <v>0</v>
      </c>
      <c r="AD85" s="13">
        <v>0</v>
      </c>
      <c r="AE85" s="13">
        <v>0</v>
      </c>
      <c r="AF85" s="13">
        <v>0</v>
      </c>
      <c r="AG85" s="13">
        <v>0</v>
      </c>
      <c r="AH85" s="13">
        <v>0</v>
      </c>
      <c r="AI85" s="13">
        <v>0</v>
      </c>
      <c r="AJ85" s="13">
        <v>0</v>
      </c>
      <c r="AK85" s="13">
        <v>0</v>
      </c>
      <c r="AL85" s="13">
        <v>0</v>
      </c>
      <c r="AM85" s="15">
        <v>0</v>
      </c>
      <c r="AN85" s="15">
        <v>0</v>
      </c>
      <c r="AO85" s="15">
        <v>0</v>
      </c>
      <c r="AP85" s="15">
        <v>0</v>
      </c>
      <c r="AQ85" s="15">
        <v>0</v>
      </c>
      <c r="AR85" s="15">
        <v>0</v>
      </c>
      <c r="AS85" s="15">
        <v>0</v>
      </c>
      <c r="AT85" s="15">
        <v>0</v>
      </c>
      <c r="AU85" s="15">
        <v>0</v>
      </c>
      <c r="AV85" s="15">
        <v>0</v>
      </c>
      <c r="AW85" s="15">
        <v>0</v>
      </c>
      <c r="AX85" s="15">
        <v>0</v>
      </c>
      <c r="AY85" s="15">
        <v>0</v>
      </c>
      <c r="AZ85" s="15">
        <v>0</v>
      </c>
      <c r="BA85" s="15">
        <v>0</v>
      </c>
      <c r="BB85" s="15">
        <v>0</v>
      </c>
      <c r="BC85" s="15">
        <v>0</v>
      </c>
      <c r="BD85" s="15">
        <v>0</v>
      </c>
      <c r="BE85" s="15">
        <v>0</v>
      </c>
      <c r="BF85" s="15">
        <v>0</v>
      </c>
      <c r="BG85" s="15">
        <v>0</v>
      </c>
    </row>
    <row r="86" spans="1:59" x14ac:dyDescent="0.2">
      <c r="A86" s="13" t="s">
        <v>9</v>
      </c>
      <c r="B86" s="13">
        <v>1</v>
      </c>
      <c r="C86" s="12" t="s">
        <v>47</v>
      </c>
      <c r="D86" s="13" t="s">
        <v>76</v>
      </c>
      <c r="E86" s="13">
        <v>0.8</v>
      </c>
      <c r="F86" s="13">
        <f t="shared" si="4"/>
        <v>0.85</v>
      </c>
      <c r="G86" s="13">
        <v>0</v>
      </c>
      <c r="H86" s="12">
        <v>20</v>
      </c>
      <c r="I86" s="13">
        <f t="shared" si="6"/>
        <v>17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7</v>
      </c>
      <c r="W86" s="13">
        <v>0</v>
      </c>
      <c r="X86" s="13">
        <v>9</v>
      </c>
      <c r="Y86" s="13">
        <v>0</v>
      </c>
      <c r="Z86" s="13">
        <v>1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5">
        <v>0</v>
      </c>
      <c r="AN86" s="15">
        <v>0</v>
      </c>
      <c r="AO86" s="15">
        <v>0</v>
      </c>
      <c r="AP86" s="15">
        <v>0</v>
      </c>
      <c r="AQ86" s="15">
        <v>0</v>
      </c>
      <c r="AR86" s="15">
        <v>0</v>
      </c>
      <c r="AS86" s="15">
        <v>0</v>
      </c>
      <c r="AT86" s="15">
        <v>0</v>
      </c>
      <c r="AU86" s="15">
        <v>0</v>
      </c>
      <c r="AV86" s="15">
        <v>0</v>
      </c>
      <c r="AW86" s="15">
        <v>0</v>
      </c>
      <c r="AX86" s="15">
        <v>0</v>
      </c>
      <c r="AY86" s="15">
        <v>0</v>
      </c>
      <c r="AZ86" s="15">
        <v>0</v>
      </c>
      <c r="BA86" s="15">
        <v>0</v>
      </c>
      <c r="BB86" s="15">
        <v>0</v>
      </c>
      <c r="BC86" s="15">
        <v>0</v>
      </c>
      <c r="BD86" s="15">
        <v>0</v>
      </c>
      <c r="BE86" s="15">
        <v>0</v>
      </c>
      <c r="BF86" s="15">
        <v>0</v>
      </c>
      <c r="BG86" s="15">
        <v>0</v>
      </c>
    </row>
    <row r="87" spans="1:59" s="5" customFormat="1" x14ac:dyDescent="0.2">
      <c r="A87" s="13" t="s">
        <v>9</v>
      </c>
      <c r="B87" s="13">
        <v>1</v>
      </c>
      <c r="C87" s="12" t="s">
        <v>47</v>
      </c>
      <c r="D87" s="13" t="s">
        <v>86</v>
      </c>
      <c r="E87" s="13">
        <v>0.89</v>
      </c>
      <c r="F87" s="13">
        <f t="shared" si="4"/>
        <v>0.7</v>
      </c>
      <c r="G87" s="13">
        <v>0</v>
      </c>
      <c r="H87" s="12">
        <v>20</v>
      </c>
      <c r="I87" s="13">
        <f t="shared" si="5"/>
        <v>14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7</v>
      </c>
      <c r="T87" s="13">
        <v>0</v>
      </c>
      <c r="U87" s="13">
        <v>0</v>
      </c>
      <c r="V87" s="13">
        <v>3</v>
      </c>
      <c r="W87" s="13">
        <v>0</v>
      </c>
      <c r="X87" s="13">
        <v>2</v>
      </c>
      <c r="Y87" s="13">
        <v>0</v>
      </c>
      <c r="Z87" s="13">
        <v>1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1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</v>
      </c>
      <c r="AT87" s="13">
        <v>0</v>
      </c>
      <c r="AU87" s="13">
        <v>0</v>
      </c>
      <c r="AV87" s="13">
        <v>0</v>
      </c>
      <c r="AW87" s="13">
        <v>0</v>
      </c>
      <c r="AX87" s="13">
        <v>0</v>
      </c>
      <c r="AY87" s="13">
        <v>0</v>
      </c>
      <c r="AZ87" s="13">
        <v>0</v>
      </c>
      <c r="BA87" s="13">
        <v>0</v>
      </c>
      <c r="BB87" s="13">
        <v>0</v>
      </c>
      <c r="BC87" s="13">
        <v>0</v>
      </c>
      <c r="BD87" s="13">
        <v>0</v>
      </c>
      <c r="BE87" s="13">
        <v>0</v>
      </c>
      <c r="BF87" s="13">
        <v>0</v>
      </c>
      <c r="BG87" s="13">
        <v>0</v>
      </c>
    </row>
    <row r="88" spans="1:59" x14ac:dyDescent="0.2">
      <c r="A88" s="13" t="s">
        <v>9</v>
      </c>
      <c r="B88" s="13">
        <v>1</v>
      </c>
      <c r="C88" s="12" t="s">
        <v>47</v>
      </c>
      <c r="D88" s="13" t="s">
        <v>77</v>
      </c>
      <c r="E88" s="13">
        <v>0.83</v>
      </c>
      <c r="F88" s="13">
        <f t="shared" si="4"/>
        <v>0.85</v>
      </c>
      <c r="G88" s="13">
        <v>0</v>
      </c>
      <c r="H88" s="12">
        <v>20</v>
      </c>
      <c r="I88" s="13">
        <f>SUM(J88:AM88)</f>
        <v>17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4</v>
      </c>
      <c r="T88" s="13">
        <v>0</v>
      </c>
      <c r="U88" s="13">
        <v>0</v>
      </c>
      <c r="V88" s="13">
        <v>13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5">
        <v>0</v>
      </c>
      <c r="AN88" s="15">
        <v>0</v>
      </c>
      <c r="AO88" s="15">
        <v>0</v>
      </c>
      <c r="AP88" s="15">
        <v>0</v>
      </c>
      <c r="AQ88" s="15">
        <v>0</v>
      </c>
      <c r="AR88" s="15">
        <v>0</v>
      </c>
      <c r="AS88" s="15">
        <v>0</v>
      </c>
      <c r="AT88" s="15">
        <v>0</v>
      </c>
      <c r="AU88" s="15">
        <v>0</v>
      </c>
      <c r="AV88" s="15">
        <v>0</v>
      </c>
      <c r="AW88" s="15">
        <v>0</v>
      </c>
      <c r="AX88" s="15">
        <v>0</v>
      </c>
      <c r="AY88" s="15">
        <v>0</v>
      </c>
      <c r="AZ88" s="15">
        <v>0</v>
      </c>
      <c r="BA88" s="15">
        <v>0</v>
      </c>
      <c r="BB88" s="15">
        <v>0</v>
      </c>
      <c r="BC88" s="15">
        <v>0</v>
      </c>
      <c r="BD88" s="15">
        <v>0</v>
      </c>
      <c r="BE88" s="15">
        <v>0</v>
      </c>
      <c r="BF88" s="15">
        <v>0</v>
      </c>
      <c r="BG88" s="15">
        <v>0</v>
      </c>
    </row>
    <row r="89" spans="1:59" x14ac:dyDescent="0.2">
      <c r="A89" s="13" t="s">
        <v>9</v>
      </c>
      <c r="B89" s="13">
        <v>1</v>
      </c>
      <c r="C89" s="12" t="s">
        <v>47</v>
      </c>
      <c r="D89" s="13" t="s">
        <v>59</v>
      </c>
      <c r="E89" s="13">
        <v>0.91</v>
      </c>
      <c r="F89" s="13">
        <f t="shared" si="4"/>
        <v>0.9</v>
      </c>
      <c r="G89" s="13">
        <v>0</v>
      </c>
      <c r="H89" s="12">
        <v>20</v>
      </c>
      <c r="I89" s="13">
        <f>SUM(J89:AM89)</f>
        <v>18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6</v>
      </c>
      <c r="T89" s="13">
        <v>0</v>
      </c>
      <c r="U89" s="13">
        <v>0</v>
      </c>
      <c r="V89" s="13">
        <v>7</v>
      </c>
      <c r="W89" s="13">
        <v>0</v>
      </c>
      <c r="X89" s="13">
        <v>4</v>
      </c>
      <c r="Y89" s="13">
        <v>0</v>
      </c>
      <c r="Z89" s="13">
        <v>1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5">
        <v>0</v>
      </c>
      <c r="AN89" s="15">
        <v>0</v>
      </c>
      <c r="AO89" s="15">
        <v>0</v>
      </c>
      <c r="AP89" s="15">
        <v>0</v>
      </c>
      <c r="AQ89" s="15">
        <v>0</v>
      </c>
      <c r="AR89" s="15">
        <v>0</v>
      </c>
      <c r="AS89" s="15">
        <v>0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15">
        <v>0</v>
      </c>
      <c r="BB89" s="15">
        <v>0</v>
      </c>
      <c r="BC89" s="15">
        <v>0</v>
      </c>
      <c r="BD89" s="15">
        <v>0</v>
      </c>
      <c r="BE89" s="15">
        <v>0</v>
      </c>
      <c r="BF89" s="15">
        <v>0</v>
      </c>
      <c r="BG89" s="15">
        <v>0</v>
      </c>
    </row>
    <row r="90" spans="1:59" x14ac:dyDescent="0.2">
      <c r="A90" s="13" t="s">
        <v>9</v>
      </c>
      <c r="B90" s="13">
        <v>1</v>
      </c>
      <c r="C90" s="12" t="s">
        <v>47</v>
      </c>
      <c r="D90" s="13" t="s">
        <v>63</v>
      </c>
      <c r="E90" s="13">
        <v>0.33</v>
      </c>
      <c r="F90" s="13">
        <f t="shared" si="4"/>
        <v>0.05</v>
      </c>
      <c r="G90" s="13">
        <v>0</v>
      </c>
      <c r="H90" s="12">
        <v>20</v>
      </c>
      <c r="I90" s="13">
        <f>SUM(J90:AM90)</f>
        <v>1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1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5">
        <v>0</v>
      </c>
      <c r="AN90" s="15">
        <v>0</v>
      </c>
      <c r="AO90" s="15">
        <v>0</v>
      </c>
      <c r="AP90" s="15">
        <v>0</v>
      </c>
      <c r="AQ90" s="15">
        <v>0</v>
      </c>
      <c r="AR90" s="15">
        <v>0</v>
      </c>
      <c r="AS90" s="15">
        <v>0</v>
      </c>
      <c r="AT90" s="15">
        <v>0</v>
      </c>
      <c r="AU90" s="15">
        <v>0</v>
      </c>
      <c r="AV90" s="15">
        <v>0</v>
      </c>
      <c r="AW90" s="15">
        <v>0</v>
      </c>
      <c r="AX90" s="15">
        <v>0</v>
      </c>
      <c r="AY90" s="15">
        <v>0</v>
      </c>
      <c r="AZ90" s="15">
        <v>0</v>
      </c>
      <c r="BA90" s="15">
        <v>0</v>
      </c>
      <c r="BB90" s="15">
        <v>0</v>
      </c>
      <c r="BC90" s="15">
        <v>0</v>
      </c>
      <c r="BD90" s="15">
        <v>0</v>
      </c>
      <c r="BE90" s="15">
        <v>0</v>
      </c>
      <c r="BF90" s="15">
        <v>0</v>
      </c>
      <c r="BG90" s="15">
        <v>0</v>
      </c>
    </row>
    <row r="91" spans="1:59" x14ac:dyDescent="0.2">
      <c r="A91" s="13" t="s">
        <v>9</v>
      </c>
      <c r="B91" s="13">
        <v>1</v>
      </c>
      <c r="C91" s="12" t="s">
        <v>47</v>
      </c>
      <c r="D91" s="13" t="s">
        <v>87</v>
      </c>
      <c r="E91" s="13">
        <v>0.89</v>
      </c>
      <c r="F91" s="13">
        <f t="shared" si="4"/>
        <v>0.9</v>
      </c>
      <c r="G91" s="13">
        <v>0</v>
      </c>
      <c r="H91" s="12">
        <v>20</v>
      </c>
      <c r="I91" s="13">
        <f>SUM(J91:AM91)</f>
        <v>18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2</v>
      </c>
      <c r="T91" s="13">
        <v>0</v>
      </c>
      <c r="U91" s="13">
        <v>0</v>
      </c>
      <c r="V91" s="13">
        <v>13</v>
      </c>
      <c r="W91" s="13">
        <v>0</v>
      </c>
      <c r="X91" s="13">
        <v>2</v>
      </c>
      <c r="Y91" s="13">
        <v>0</v>
      </c>
      <c r="Z91" s="13">
        <v>0</v>
      </c>
      <c r="AA91" s="13">
        <v>0</v>
      </c>
      <c r="AB91" s="13">
        <v>0</v>
      </c>
      <c r="AC91" s="13">
        <v>1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5">
        <v>0</v>
      </c>
      <c r="AN91" s="15">
        <v>0</v>
      </c>
      <c r="AO91" s="15">
        <v>0</v>
      </c>
      <c r="AP91" s="15">
        <v>0</v>
      </c>
      <c r="AQ91" s="15">
        <v>0</v>
      </c>
      <c r="AR91" s="15">
        <v>0</v>
      </c>
      <c r="AS91" s="15">
        <v>0</v>
      </c>
      <c r="AT91" s="15">
        <v>0</v>
      </c>
      <c r="AU91" s="15">
        <v>0</v>
      </c>
      <c r="AV91" s="15">
        <v>0</v>
      </c>
      <c r="AW91" s="15">
        <v>0</v>
      </c>
      <c r="AX91" s="15">
        <v>0</v>
      </c>
      <c r="AY91" s="15">
        <v>0</v>
      </c>
      <c r="AZ91" s="15">
        <v>0</v>
      </c>
      <c r="BA91" s="15">
        <v>0</v>
      </c>
      <c r="BB91" s="15">
        <v>0</v>
      </c>
      <c r="BC91" s="15">
        <v>0</v>
      </c>
      <c r="BD91" s="15">
        <v>0</v>
      </c>
      <c r="BE91" s="15">
        <v>0</v>
      </c>
      <c r="BF91" s="15">
        <v>0</v>
      </c>
      <c r="BG91" s="1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1BD-8C12-4F1C-974C-7D042A528CF1}">
  <dimension ref="A1:BH91"/>
  <sheetViews>
    <sheetView topLeftCell="AS1" zoomScale="110" zoomScaleNormal="110" workbookViewId="0">
      <selection activeCell="F2" sqref="F2:F91"/>
    </sheetView>
  </sheetViews>
  <sheetFormatPr baseColWidth="10" defaultColWidth="8.83203125" defaultRowHeight="15" x14ac:dyDescent="0.2"/>
  <cols>
    <col min="1" max="1" width="11.1640625" bestFit="1" customWidth="1"/>
    <col min="3" max="3" width="14.5" bestFit="1" customWidth="1"/>
    <col min="4" max="8" width="14.5" customWidth="1"/>
    <col min="10" max="23" width="9.1640625" customWidth="1"/>
    <col min="29" max="29" width="9.1640625"/>
    <col min="31" max="31" width="8.83203125" style="4"/>
  </cols>
  <sheetData>
    <row r="1" spans="1:60" s="1" customFormat="1" ht="48" x14ac:dyDescent="0.2">
      <c r="A1" s="10" t="s">
        <v>1</v>
      </c>
      <c r="B1" s="10" t="s">
        <v>4</v>
      </c>
      <c r="C1" s="10" t="s">
        <v>0</v>
      </c>
      <c r="D1" s="11" t="s">
        <v>164</v>
      </c>
      <c r="E1" s="11" t="s">
        <v>162</v>
      </c>
      <c r="F1" s="11" t="s">
        <v>176</v>
      </c>
      <c r="G1" s="11" t="s">
        <v>121</v>
      </c>
      <c r="H1" s="11" t="s">
        <v>120</v>
      </c>
      <c r="I1" s="10" t="s">
        <v>122</v>
      </c>
      <c r="J1" s="10" t="s">
        <v>123</v>
      </c>
      <c r="K1" s="10" t="s">
        <v>124</v>
      </c>
      <c r="L1" s="10" t="s">
        <v>125</v>
      </c>
      <c r="M1" s="10" t="s">
        <v>126</v>
      </c>
      <c r="N1" s="10" t="s">
        <v>127</v>
      </c>
      <c r="O1" s="10" t="s">
        <v>128</v>
      </c>
      <c r="P1" s="10" t="s">
        <v>129</v>
      </c>
      <c r="Q1" s="10" t="s">
        <v>130</v>
      </c>
      <c r="R1" s="10" t="s">
        <v>133</v>
      </c>
      <c r="S1" s="10" t="s">
        <v>131</v>
      </c>
      <c r="T1" s="10" t="s">
        <v>132</v>
      </c>
      <c r="U1" s="10" t="s">
        <v>134</v>
      </c>
      <c r="V1" s="10" t="s">
        <v>135</v>
      </c>
      <c r="W1" s="10" t="s">
        <v>136</v>
      </c>
      <c r="X1" s="10" t="s">
        <v>137</v>
      </c>
      <c r="Y1" s="10" t="s">
        <v>138</v>
      </c>
      <c r="Z1" s="10" t="s">
        <v>139</v>
      </c>
      <c r="AA1" s="10" t="s">
        <v>140</v>
      </c>
      <c r="AB1" s="10" t="s">
        <v>141</v>
      </c>
      <c r="AC1" s="10" t="s">
        <v>142</v>
      </c>
      <c r="AD1" s="10" t="s">
        <v>143</v>
      </c>
      <c r="AE1" s="10" t="s">
        <v>144</v>
      </c>
      <c r="AF1" s="10" t="s">
        <v>145</v>
      </c>
      <c r="AG1" s="10" t="s">
        <v>146</v>
      </c>
      <c r="AH1" s="10" t="s">
        <v>147</v>
      </c>
      <c r="AI1" s="10" t="s">
        <v>148</v>
      </c>
      <c r="AJ1" s="10" t="s">
        <v>149</v>
      </c>
      <c r="AK1" s="10" t="s">
        <v>150</v>
      </c>
      <c r="AL1" s="10" t="s">
        <v>151</v>
      </c>
      <c r="AM1" s="10" t="s">
        <v>152</v>
      </c>
      <c r="AN1" s="10" t="s">
        <v>153</v>
      </c>
      <c r="AO1" s="10" t="s">
        <v>154</v>
      </c>
      <c r="AP1" s="10" t="s">
        <v>155</v>
      </c>
      <c r="AQ1" s="10" t="s">
        <v>156</v>
      </c>
      <c r="AR1" s="10" t="s">
        <v>157</v>
      </c>
      <c r="AS1" s="10" t="s">
        <v>158</v>
      </c>
      <c r="AT1" s="10" t="s">
        <v>159</v>
      </c>
      <c r="AU1" s="10" t="s">
        <v>160</v>
      </c>
      <c r="AV1" s="10" t="s">
        <v>161</v>
      </c>
      <c r="AW1" s="10" t="s">
        <v>165</v>
      </c>
      <c r="AX1" s="10" t="s">
        <v>166</v>
      </c>
      <c r="AY1" s="10" t="s">
        <v>167</v>
      </c>
      <c r="AZ1" s="10" t="s">
        <v>168</v>
      </c>
      <c r="BA1" s="10" t="s">
        <v>169</v>
      </c>
      <c r="BB1" s="10" t="s">
        <v>170</v>
      </c>
      <c r="BC1" s="10" t="s">
        <v>171</v>
      </c>
      <c r="BD1" s="10" t="s">
        <v>172</v>
      </c>
      <c r="BE1" s="10" t="s">
        <v>173</v>
      </c>
      <c r="BF1" s="10" t="s">
        <v>174</v>
      </c>
      <c r="BG1" s="10" t="s">
        <v>175</v>
      </c>
    </row>
    <row r="2" spans="1:60" s="2" customFormat="1" x14ac:dyDescent="0.2">
      <c r="A2" s="12" t="s">
        <v>3</v>
      </c>
      <c r="B2" s="12">
        <v>1</v>
      </c>
      <c r="C2" s="12" t="s">
        <v>48</v>
      </c>
      <c r="D2" s="12">
        <v>0.64</v>
      </c>
      <c r="E2" s="12">
        <f>(H2+G2)/20</f>
        <v>0.05</v>
      </c>
      <c r="F2" s="12">
        <v>20</v>
      </c>
      <c r="G2" s="12">
        <v>0</v>
      </c>
      <c r="H2" s="12">
        <f t="shared" ref="H2:H16" si="0">SUM(J2:AT2)</f>
        <v>1</v>
      </c>
      <c r="I2" s="12" t="s">
        <v>90</v>
      </c>
      <c r="J2" s="12">
        <v>0</v>
      </c>
      <c r="K2" s="12">
        <v>0</v>
      </c>
      <c r="L2" s="12">
        <v>0</v>
      </c>
      <c r="M2" s="12">
        <v>0</v>
      </c>
      <c r="N2" s="12">
        <v>0</v>
      </c>
      <c r="O2" s="12">
        <v>1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2">
        <v>0</v>
      </c>
      <c r="AD2" s="12">
        <v>0</v>
      </c>
      <c r="AE2" s="12">
        <v>0</v>
      </c>
      <c r="AF2" s="12">
        <v>0</v>
      </c>
      <c r="AG2" s="12">
        <v>0</v>
      </c>
      <c r="AH2" s="12">
        <v>0</v>
      </c>
      <c r="AI2" s="12">
        <v>0</v>
      </c>
      <c r="AJ2" s="12">
        <v>0</v>
      </c>
      <c r="AK2" s="12">
        <v>0</v>
      </c>
      <c r="AL2" s="12">
        <v>0</v>
      </c>
      <c r="AM2" s="12">
        <v>0</v>
      </c>
      <c r="AN2" s="12">
        <v>0</v>
      </c>
      <c r="AO2" s="12">
        <v>0</v>
      </c>
      <c r="AP2" s="12">
        <v>0</v>
      </c>
      <c r="AQ2" s="12">
        <v>0</v>
      </c>
      <c r="AR2" s="12">
        <v>0</v>
      </c>
      <c r="AS2" s="12">
        <v>0</v>
      </c>
      <c r="AT2" s="12">
        <v>0</v>
      </c>
      <c r="AU2" s="12">
        <v>0</v>
      </c>
      <c r="AV2" s="12">
        <v>0</v>
      </c>
      <c r="AW2" s="12">
        <v>0</v>
      </c>
      <c r="AX2" s="12">
        <v>0</v>
      </c>
      <c r="AY2" s="12">
        <v>0</v>
      </c>
      <c r="AZ2" s="12">
        <v>0</v>
      </c>
      <c r="BA2" s="12">
        <v>0</v>
      </c>
      <c r="BB2" s="12">
        <v>0</v>
      </c>
      <c r="BC2" s="12">
        <v>0</v>
      </c>
      <c r="BD2" s="12">
        <v>0</v>
      </c>
      <c r="BE2" s="12">
        <v>0</v>
      </c>
      <c r="BF2" s="12">
        <v>0</v>
      </c>
      <c r="BG2" s="12">
        <v>0</v>
      </c>
    </row>
    <row r="3" spans="1:60" x14ac:dyDescent="0.2">
      <c r="A3" s="12" t="s">
        <v>3</v>
      </c>
      <c r="B3" s="13">
        <v>1</v>
      </c>
      <c r="C3" s="12" t="s">
        <v>48</v>
      </c>
      <c r="D3" s="13">
        <v>0.87</v>
      </c>
      <c r="E3" s="13">
        <f>(H3+G3)/20</f>
        <v>1</v>
      </c>
      <c r="F3" s="12">
        <v>20</v>
      </c>
      <c r="G3" s="13">
        <v>0</v>
      </c>
      <c r="H3" s="13">
        <f t="shared" si="0"/>
        <v>20</v>
      </c>
      <c r="I3" s="13" t="s">
        <v>91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5</v>
      </c>
      <c r="P3" s="13">
        <v>0</v>
      </c>
      <c r="Q3" s="13">
        <v>15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0</v>
      </c>
      <c r="AS3" s="12">
        <v>0</v>
      </c>
      <c r="AT3" s="12">
        <v>0</v>
      </c>
      <c r="AU3" s="12">
        <v>0</v>
      </c>
      <c r="AV3" s="12">
        <v>0</v>
      </c>
      <c r="AW3" s="12">
        <v>0</v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0</v>
      </c>
      <c r="BE3" s="12">
        <v>0</v>
      </c>
      <c r="BF3" s="12">
        <v>0</v>
      </c>
      <c r="BG3" s="12">
        <v>0</v>
      </c>
      <c r="BH3" s="2"/>
    </row>
    <row r="4" spans="1:60" x14ac:dyDescent="0.2">
      <c r="A4" s="12" t="s">
        <v>3</v>
      </c>
      <c r="B4" s="13">
        <v>1</v>
      </c>
      <c r="C4" s="12" t="s">
        <v>48</v>
      </c>
      <c r="D4" s="13">
        <v>0.82</v>
      </c>
      <c r="E4" s="13">
        <f t="shared" ref="E4:E67" si="1">(H4+G4)/20</f>
        <v>0.95</v>
      </c>
      <c r="F4" s="12">
        <v>20</v>
      </c>
      <c r="G4" s="13">
        <v>0</v>
      </c>
      <c r="H4" s="13">
        <f t="shared" si="0"/>
        <v>19</v>
      </c>
      <c r="I4" s="13" t="s">
        <v>92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3</v>
      </c>
      <c r="P4" s="13">
        <v>0</v>
      </c>
      <c r="Q4" s="13">
        <v>14</v>
      </c>
      <c r="R4" s="13">
        <v>0</v>
      </c>
      <c r="S4" s="13">
        <v>2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0</v>
      </c>
      <c r="AT4" s="12">
        <v>0</v>
      </c>
      <c r="AU4" s="12">
        <v>0</v>
      </c>
      <c r="AV4" s="12">
        <v>0</v>
      </c>
      <c r="AW4" s="12">
        <v>0</v>
      </c>
      <c r="AX4" s="12">
        <v>0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2"/>
    </row>
    <row r="5" spans="1:60" x14ac:dyDescent="0.2">
      <c r="A5" s="12" t="s">
        <v>3</v>
      </c>
      <c r="B5" s="13">
        <v>1</v>
      </c>
      <c r="C5" s="12" t="s">
        <v>48</v>
      </c>
      <c r="D5" s="13">
        <v>0.89</v>
      </c>
      <c r="E5" s="13">
        <f t="shared" si="1"/>
        <v>0.75</v>
      </c>
      <c r="F5" s="12">
        <v>20</v>
      </c>
      <c r="G5" s="13">
        <v>0</v>
      </c>
      <c r="H5" s="13">
        <f t="shared" si="0"/>
        <v>15</v>
      </c>
      <c r="I5" s="13" t="s">
        <v>93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15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2">
        <v>0</v>
      </c>
      <c r="AN5" s="12">
        <v>0</v>
      </c>
      <c r="AO5" s="12">
        <v>0</v>
      </c>
      <c r="AP5" s="12">
        <v>0</v>
      </c>
      <c r="AQ5" s="12">
        <v>0</v>
      </c>
      <c r="AR5" s="12">
        <v>0</v>
      </c>
      <c r="AS5" s="12">
        <v>0</v>
      </c>
      <c r="AT5" s="12">
        <v>0</v>
      </c>
      <c r="AU5" s="12">
        <v>0</v>
      </c>
      <c r="AV5" s="12">
        <v>0</v>
      </c>
      <c r="AW5" s="12">
        <v>0</v>
      </c>
      <c r="AX5" s="12">
        <v>0</v>
      </c>
      <c r="AY5" s="12">
        <v>0</v>
      </c>
      <c r="AZ5" s="12">
        <v>0</v>
      </c>
      <c r="BA5" s="12">
        <v>0</v>
      </c>
      <c r="BB5" s="12">
        <v>0</v>
      </c>
      <c r="BC5" s="12">
        <v>0</v>
      </c>
      <c r="BD5" s="12">
        <v>0</v>
      </c>
      <c r="BE5" s="12">
        <v>0</v>
      </c>
      <c r="BF5" s="12">
        <v>0</v>
      </c>
      <c r="BG5" s="12">
        <v>0</v>
      </c>
      <c r="BH5" s="2"/>
    </row>
    <row r="6" spans="1:60" x14ac:dyDescent="0.2">
      <c r="A6" s="12" t="s">
        <v>3</v>
      </c>
      <c r="B6" s="13">
        <v>1</v>
      </c>
      <c r="C6" s="12" t="s">
        <v>48</v>
      </c>
      <c r="D6" s="13">
        <v>0.92</v>
      </c>
      <c r="E6" s="13">
        <f t="shared" si="1"/>
        <v>0.75</v>
      </c>
      <c r="F6" s="12">
        <v>20</v>
      </c>
      <c r="G6" s="13">
        <v>0</v>
      </c>
      <c r="H6" s="13">
        <f t="shared" si="0"/>
        <v>15</v>
      </c>
      <c r="I6" s="13" t="s">
        <v>94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4</v>
      </c>
      <c r="P6" s="13">
        <v>0</v>
      </c>
      <c r="Q6" s="13">
        <v>10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1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0</v>
      </c>
      <c r="BH6" s="2"/>
    </row>
    <row r="7" spans="1:60" x14ac:dyDescent="0.2">
      <c r="A7" s="12" t="s">
        <v>3</v>
      </c>
      <c r="B7" s="13">
        <v>1</v>
      </c>
      <c r="C7" s="12" t="s">
        <v>48</v>
      </c>
      <c r="D7" s="13">
        <v>0.95</v>
      </c>
      <c r="E7" s="13">
        <f t="shared" si="1"/>
        <v>0.65</v>
      </c>
      <c r="F7" s="12">
        <v>20</v>
      </c>
      <c r="G7" s="13">
        <v>0</v>
      </c>
      <c r="H7" s="13">
        <f t="shared" si="0"/>
        <v>13</v>
      </c>
      <c r="I7" s="13" t="s">
        <v>95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5</v>
      </c>
      <c r="P7" s="13">
        <v>0</v>
      </c>
      <c r="Q7" s="13">
        <v>8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0</v>
      </c>
      <c r="BE7" s="12">
        <v>0</v>
      </c>
      <c r="BF7" s="12">
        <v>0</v>
      </c>
      <c r="BG7" s="12">
        <v>0</v>
      </c>
      <c r="BH7" s="2"/>
    </row>
    <row r="8" spans="1:60" x14ac:dyDescent="0.2">
      <c r="A8" s="12" t="s">
        <v>3</v>
      </c>
      <c r="B8" s="13">
        <v>1</v>
      </c>
      <c r="C8" s="12" t="s">
        <v>48</v>
      </c>
      <c r="D8" s="13">
        <v>0.93</v>
      </c>
      <c r="E8" s="13">
        <f t="shared" si="1"/>
        <v>0.8</v>
      </c>
      <c r="F8" s="12">
        <v>20</v>
      </c>
      <c r="G8" s="13">
        <v>0</v>
      </c>
      <c r="H8" s="13">
        <f t="shared" si="0"/>
        <v>16</v>
      </c>
      <c r="I8" s="13" t="s">
        <v>96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1</v>
      </c>
      <c r="P8" s="13">
        <v>0</v>
      </c>
      <c r="Q8" s="13">
        <v>15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0</v>
      </c>
      <c r="BE8" s="12">
        <v>0</v>
      </c>
      <c r="BF8" s="12">
        <v>0</v>
      </c>
      <c r="BG8" s="12">
        <v>0</v>
      </c>
      <c r="BH8" s="2"/>
    </row>
    <row r="9" spans="1:60" x14ac:dyDescent="0.2">
      <c r="A9" s="12" t="s">
        <v>3</v>
      </c>
      <c r="B9" s="13">
        <v>1</v>
      </c>
      <c r="C9" s="12" t="s">
        <v>48</v>
      </c>
      <c r="D9" s="13">
        <v>0.93</v>
      </c>
      <c r="E9" s="13">
        <f t="shared" si="1"/>
        <v>0.9</v>
      </c>
      <c r="F9" s="12">
        <v>20</v>
      </c>
      <c r="G9" s="13">
        <v>0</v>
      </c>
      <c r="H9" s="13">
        <f t="shared" si="0"/>
        <v>18</v>
      </c>
      <c r="I9" s="13" t="s">
        <v>97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8</v>
      </c>
      <c r="P9" s="13">
        <v>0</v>
      </c>
      <c r="Q9" s="13">
        <v>10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0</v>
      </c>
      <c r="BE9" s="12">
        <v>0</v>
      </c>
      <c r="BF9" s="12">
        <v>0</v>
      </c>
      <c r="BG9" s="12">
        <v>0</v>
      </c>
      <c r="BH9" s="2"/>
    </row>
    <row r="10" spans="1:60" x14ac:dyDescent="0.2">
      <c r="A10" s="12" t="s">
        <v>3</v>
      </c>
      <c r="B10" s="13">
        <v>1</v>
      </c>
      <c r="C10" s="12" t="s">
        <v>48</v>
      </c>
      <c r="D10" s="13">
        <v>0.93</v>
      </c>
      <c r="E10" s="13">
        <f t="shared" si="1"/>
        <v>0.7</v>
      </c>
      <c r="F10" s="12">
        <v>20</v>
      </c>
      <c r="G10" s="13">
        <v>0</v>
      </c>
      <c r="H10" s="13">
        <f t="shared" si="0"/>
        <v>14</v>
      </c>
      <c r="I10" s="13" t="s">
        <v>98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4</v>
      </c>
      <c r="P10" s="13">
        <v>0</v>
      </c>
      <c r="Q10" s="13">
        <v>10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2">
        <v>0</v>
      </c>
      <c r="AN10" s="12">
        <v>0</v>
      </c>
      <c r="AO10" s="12">
        <v>0</v>
      </c>
      <c r="AP10" s="12">
        <v>0</v>
      </c>
      <c r="AQ10" s="12">
        <v>0</v>
      </c>
      <c r="AR10" s="12">
        <v>0</v>
      </c>
      <c r="AS10" s="12">
        <v>0</v>
      </c>
      <c r="AT10" s="12">
        <v>0</v>
      </c>
      <c r="AU10" s="12">
        <v>0</v>
      </c>
      <c r="AV10" s="12">
        <v>0</v>
      </c>
      <c r="AW10" s="12">
        <v>0</v>
      </c>
      <c r="AX10" s="12">
        <v>0</v>
      </c>
      <c r="AY10" s="12">
        <v>0</v>
      </c>
      <c r="AZ10" s="12">
        <v>0</v>
      </c>
      <c r="BA10" s="12">
        <v>0</v>
      </c>
      <c r="BB10" s="12">
        <v>0</v>
      </c>
      <c r="BC10" s="12">
        <v>0</v>
      </c>
      <c r="BD10" s="12">
        <v>0</v>
      </c>
      <c r="BE10" s="12">
        <v>0</v>
      </c>
      <c r="BF10" s="12">
        <v>0</v>
      </c>
      <c r="BG10" s="12">
        <v>0</v>
      </c>
      <c r="BH10" s="2"/>
    </row>
    <row r="11" spans="1:60" x14ac:dyDescent="0.2">
      <c r="A11" s="12" t="s">
        <v>3</v>
      </c>
      <c r="B11" s="13">
        <v>1</v>
      </c>
      <c r="C11" s="12" t="s">
        <v>48</v>
      </c>
      <c r="D11" s="13">
        <v>0.93</v>
      </c>
      <c r="E11" s="13">
        <f t="shared" si="1"/>
        <v>0.85</v>
      </c>
      <c r="F11" s="12">
        <v>20</v>
      </c>
      <c r="G11" s="13">
        <v>0</v>
      </c>
      <c r="H11" s="13">
        <f t="shared" si="0"/>
        <v>17</v>
      </c>
      <c r="I11" s="13" t="s">
        <v>99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3</v>
      </c>
      <c r="P11" s="13">
        <v>0</v>
      </c>
      <c r="Q11" s="13">
        <v>13</v>
      </c>
      <c r="R11" s="13">
        <v>0</v>
      </c>
      <c r="S11" s="13">
        <v>1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  <c r="AR11" s="12">
        <v>0</v>
      </c>
      <c r="AS11" s="12">
        <v>0</v>
      </c>
      <c r="AT11" s="12">
        <v>0</v>
      </c>
      <c r="AU11" s="12">
        <v>0</v>
      </c>
      <c r="AV11" s="12">
        <v>0</v>
      </c>
      <c r="AW11" s="12">
        <v>0</v>
      </c>
      <c r="AX11" s="12">
        <v>0</v>
      </c>
      <c r="AY11" s="12">
        <v>0</v>
      </c>
      <c r="AZ11" s="12">
        <v>0</v>
      </c>
      <c r="BA11" s="12">
        <v>0</v>
      </c>
      <c r="BB11" s="12">
        <v>0</v>
      </c>
      <c r="BC11" s="12">
        <v>0</v>
      </c>
      <c r="BD11" s="12">
        <v>0</v>
      </c>
      <c r="BE11" s="12">
        <v>0</v>
      </c>
      <c r="BF11" s="12">
        <v>0</v>
      </c>
      <c r="BG11" s="12">
        <v>0</v>
      </c>
      <c r="BH11" s="2"/>
    </row>
    <row r="12" spans="1:60" x14ac:dyDescent="0.2">
      <c r="A12" s="12" t="s">
        <v>3</v>
      </c>
      <c r="B12" s="13">
        <v>1</v>
      </c>
      <c r="C12" s="12" t="s">
        <v>48</v>
      </c>
      <c r="D12" s="13">
        <v>0.85</v>
      </c>
      <c r="E12" s="13">
        <f t="shared" si="1"/>
        <v>0.95</v>
      </c>
      <c r="F12" s="12">
        <v>20</v>
      </c>
      <c r="G12" s="13">
        <v>0</v>
      </c>
      <c r="H12" s="13">
        <f t="shared" si="0"/>
        <v>19</v>
      </c>
      <c r="I12" s="13" t="s">
        <v>100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2</v>
      </c>
      <c r="P12" s="13">
        <v>0</v>
      </c>
      <c r="Q12" s="13">
        <v>17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2">
        <v>0</v>
      </c>
      <c r="AN12" s="12">
        <v>0</v>
      </c>
      <c r="AO12" s="12">
        <v>0</v>
      </c>
      <c r="AP12" s="12">
        <v>0</v>
      </c>
      <c r="AQ12" s="12">
        <v>0</v>
      </c>
      <c r="AR12" s="12">
        <v>0</v>
      </c>
      <c r="AS12" s="12">
        <v>0</v>
      </c>
      <c r="AT12" s="12">
        <v>0</v>
      </c>
      <c r="AU12" s="12">
        <v>0</v>
      </c>
      <c r="AV12" s="12">
        <v>0</v>
      </c>
      <c r="AW12" s="12">
        <v>0</v>
      </c>
      <c r="AX12" s="12">
        <v>0</v>
      </c>
      <c r="AY12" s="12">
        <v>0</v>
      </c>
      <c r="AZ12" s="12">
        <v>0</v>
      </c>
      <c r="BA12" s="12">
        <v>0</v>
      </c>
      <c r="BB12" s="12">
        <v>0</v>
      </c>
      <c r="BC12" s="12">
        <v>0</v>
      </c>
      <c r="BD12" s="12">
        <v>0</v>
      </c>
      <c r="BE12" s="12">
        <v>0</v>
      </c>
      <c r="BF12" s="12">
        <v>0</v>
      </c>
      <c r="BG12" s="12">
        <v>0</v>
      </c>
      <c r="BH12" s="2"/>
    </row>
    <row r="13" spans="1:60" x14ac:dyDescent="0.2">
      <c r="A13" s="12" t="s">
        <v>3</v>
      </c>
      <c r="B13" s="13">
        <v>1</v>
      </c>
      <c r="C13" s="12" t="s">
        <v>48</v>
      </c>
      <c r="D13" s="13">
        <v>0.8</v>
      </c>
      <c r="E13" s="13">
        <f t="shared" si="1"/>
        <v>1</v>
      </c>
      <c r="F13" s="12">
        <v>20</v>
      </c>
      <c r="G13" s="13">
        <v>0</v>
      </c>
      <c r="H13" s="13">
        <f t="shared" si="0"/>
        <v>20</v>
      </c>
      <c r="I13" s="13" t="s">
        <v>101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6</v>
      </c>
      <c r="P13" s="13">
        <v>0</v>
      </c>
      <c r="Q13" s="13">
        <v>11</v>
      </c>
      <c r="R13" s="13">
        <v>0</v>
      </c>
      <c r="S13" s="13">
        <v>1</v>
      </c>
      <c r="T13" s="13">
        <v>0</v>
      </c>
      <c r="U13" s="13">
        <v>0</v>
      </c>
      <c r="V13" s="13">
        <v>1</v>
      </c>
      <c r="W13" s="13">
        <v>0</v>
      </c>
      <c r="X13" s="13">
        <v>1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2"/>
    </row>
    <row r="14" spans="1:60" x14ac:dyDescent="0.2">
      <c r="A14" s="12" t="s">
        <v>3</v>
      </c>
      <c r="B14" s="13">
        <v>1</v>
      </c>
      <c r="C14" s="12" t="s">
        <v>48</v>
      </c>
      <c r="D14" s="13">
        <v>0.92</v>
      </c>
      <c r="E14" s="13">
        <f t="shared" si="1"/>
        <v>0.85</v>
      </c>
      <c r="F14" s="12">
        <v>20</v>
      </c>
      <c r="G14" s="13">
        <v>1</v>
      </c>
      <c r="H14" s="13">
        <f t="shared" si="0"/>
        <v>16</v>
      </c>
      <c r="I14" s="13" t="s">
        <v>102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13</v>
      </c>
      <c r="P14" s="13">
        <v>0</v>
      </c>
      <c r="Q14" s="13">
        <v>3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2"/>
    </row>
    <row r="15" spans="1:60" x14ac:dyDescent="0.2">
      <c r="A15" s="12" t="s">
        <v>3</v>
      </c>
      <c r="B15" s="13">
        <v>1</v>
      </c>
      <c r="C15" s="12" t="s">
        <v>48</v>
      </c>
      <c r="D15" s="13">
        <v>0.86</v>
      </c>
      <c r="E15" s="13">
        <f t="shared" si="1"/>
        <v>0.9</v>
      </c>
      <c r="F15" s="12">
        <v>20</v>
      </c>
      <c r="G15" s="13">
        <v>0</v>
      </c>
      <c r="H15" s="13">
        <f t="shared" si="0"/>
        <v>18</v>
      </c>
      <c r="I15" s="13" t="s">
        <v>103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1</v>
      </c>
      <c r="P15" s="13">
        <v>0</v>
      </c>
      <c r="Q15" s="13">
        <v>16</v>
      </c>
      <c r="R15" s="13">
        <v>0</v>
      </c>
      <c r="S15" s="13">
        <v>1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2"/>
    </row>
    <row r="16" spans="1:60" s="6" customFormat="1" x14ac:dyDescent="0.2">
      <c r="A16" s="12" t="s">
        <v>3</v>
      </c>
      <c r="B16" s="14">
        <v>1</v>
      </c>
      <c r="C16" s="12" t="s">
        <v>48</v>
      </c>
      <c r="D16" s="14">
        <v>0.91</v>
      </c>
      <c r="E16" s="14">
        <f t="shared" si="1"/>
        <v>0.7</v>
      </c>
      <c r="F16" s="12">
        <v>20</v>
      </c>
      <c r="G16" s="14">
        <v>1</v>
      </c>
      <c r="H16" s="14">
        <f t="shared" si="0"/>
        <v>13</v>
      </c>
      <c r="I16" s="14" t="s">
        <v>104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2</v>
      </c>
      <c r="P16" s="14">
        <v>0</v>
      </c>
      <c r="Q16" s="14">
        <v>10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1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2">
        <v>0</v>
      </c>
      <c r="AN16" s="12">
        <v>0</v>
      </c>
      <c r="AO16" s="12">
        <v>0</v>
      </c>
      <c r="AP16" s="12">
        <v>0</v>
      </c>
      <c r="AQ16" s="12">
        <v>0</v>
      </c>
      <c r="AR16" s="12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2"/>
    </row>
    <row r="17" spans="1:60" x14ac:dyDescent="0.2">
      <c r="A17" s="13" t="s">
        <v>5</v>
      </c>
      <c r="B17" s="13">
        <v>1</v>
      </c>
      <c r="C17" s="12" t="s">
        <v>48</v>
      </c>
      <c r="D17" s="13">
        <v>0.67</v>
      </c>
      <c r="E17" s="13">
        <f t="shared" si="1"/>
        <v>0.65</v>
      </c>
      <c r="F17" s="12">
        <v>20</v>
      </c>
      <c r="G17" s="13">
        <v>2</v>
      </c>
      <c r="H17" s="13">
        <f t="shared" ref="H17:H67" si="2">SUM(J17:AY17)</f>
        <v>11</v>
      </c>
      <c r="I17" s="13" t="s">
        <v>105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10</v>
      </c>
      <c r="R17" s="13">
        <v>0</v>
      </c>
      <c r="S17" s="13">
        <v>0</v>
      </c>
      <c r="T17" s="13">
        <v>0</v>
      </c>
      <c r="U17" s="13">
        <v>0</v>
      </c>
      <c r="V17" s="13">
        <v>1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2">
        <v>0</v>
      </c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2"/>
    </row>
    <row r="18" spans="1:60" x14ac:dyDescent="0.2">
      <c r="A18" s="13" t="s">
        <v>5</v>
      </c>
      <c r="B18" s="13">
        <v>1</v>
      </c>
      <c r="C18" s="12" t="s">
        <v>48</v>
      </c>
      <c r="D18" s="13">
        <v>0.82</v>
      </c>
      <c r="E18" s="13">
        <f t="shared" si="1"/>
        <v>0.65</v>
      </c>
      <c r="F18" s="12">
        <v>20</v>
      </c>
      <c r="G18" s="13">
        <v>0</v>
      </c>
      <c r="H18" s="13">
        <f t="shared" si="2"/>
        <v>13</v>
      </c>
      <c r="I18" s="13" t="s">
        <v>106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9</v>
      </c>
      <c r="P18" s="13">
        <v>0</v>
      </c>
      <c r="Q18" s="13">
        <v>4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2"/>
    </row>
    <row r="19" spans="1:60" x14ac:dyDescent="0.2">
      <c r="A19" s="13" t="s">
        <v>5</v>
      </c>
      <c r="B19" s="13">
        <v>1</v>
      </c>
      <c r="C19" s="12" t="s">
        <v>48</v>
      </c>
      <c r="D19" s="13">
        <v>0.87</v>
      </c>
      <c r="E19" s="13">
        <f t="shared" si="1"/>
        <v>0.8</v>
      </c>
      <c r="F19" s="12">
        <v>20</v>
      </c>
      <c r="G19" s="13">
        <v>0</v>
      </c>
      <c r="H19" s="13">
        <f t="shared" si="2"/>
        <v>16</v>
      </c>
      <c r="I19" s="13" t="s">
        <v>107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15</v>
      </c>
      <c r="R19" s="13">
        <v>0</v>
      </c>
      <c r="S19" s="13">
        <v>0</v>
      </c>
      <c r="T19" s="13">
        <v>0</v>
      </c>
      <c r="U19" s="13">
        <v>0</v>
      </c>
      <c r="V19" s="13">
        <v>1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2"/>
    </row>
    <row r="20" spans="1:60" x14ac:dyDescent="0.2">
      <c r="A20" s="13" t="s">
        <v>5</v>
      </c>
      <c r="B20" s="13">
        <v>1</v>
      </c>
      <c r="C20" s="12" t="s">
        <v>48</v>
      </c>
      <c r="D20" s="13">
        <v>0.82</v>
      </c>
      <c r="E20" s="13">
        <f t="shared" si="1"/>
        <v>0.75</v>
      </c>
      <c r="F20" s="12">
        <v>20</v>
      </c>
      <c r="G20" s="13">
        <v>0</v>
      </c>
      <c r="H20" s="13">
        <f t="shared" si="2"/>
        <v>15</v>
      </c>
      <c r="I20" s="13" t="s">
        <v>92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15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2"/>
    </row>
    <row r="21" spans="1:60" x14ac:dyDescent="0.2">
      <c r="A21" s="13" t="s">
        <v>5</v>
      </c>
      <c r="B21" s="13">
        <v>1</v>
      </c>
      <c r="C21" s="12" t="s">
        <v>48</v>
      </c>
      <c r="D21" s="13">
        <v>0.93</v>
      </c>
      <c r="E21" s="13">
        <f t="shared" si="1"/>
        <v>0.5</v>
      </c>
      <c r="F21" s="12">
        <v>20</v>
      </c>
      <c r="G21" s="13">
        <v>0</v>
      </c>
      <c r="H21" s="13">
        <f t="shared" si="2"/>
        <v>10</v>
      </c>
      <c r="I21" s="13" t="s">
        <v>108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10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2"/>
    </row>
    <row r="22" spans="1:60" x14ac:dyDescent="0.2">
      <c r="A22" s="13" t="s">
        <v>5</v>
      </c>
      <c r="B22" s="13">
        <v>1</v>
      </c>
      <c r="C22" s="12" t="s">
        <v>48</v>
      </c>
      <c r="D22" s="13">
        <v>0.95</v>
      </c>
      <c r="E22" s="13">
        <f t="shared" si="1"/>
        <v>1</v>
      </c>
      <c r="F22" s="12">
        <v>20</v>
      </c>
      <c r="G22" s="13">
        <v>0</v>
      </c>
      <c r="H22" s="13">
        <f t="shared" si="2"/>
        <v>20</v>
      </c>
      <c r="I22" s="13" t="s">
        <v>95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3</v>
      </c>
      <c r="P22" s="13">
        <v>0</v>
      </c>
      <c r="Q22" s="13">
        <v>15</v>
      </c>
      <c r="R22" s="13">
        <v>0</v>
      </c>
      <c r="S22" s="13">
        <v>2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2">
        <v>0</v>
      </c>
      <c r="AN22" s="12">
        <v>0</v>
      </c>
      <c r="AO22" s="12">
        <v>0</v>
      </c>
      <c r="AP22" s="12">
        <v>0</v>
      </c>
      <c r="AQ22" s="12">
        <v>0</v>
      </c>
      <c r="AR22" s="12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2"/>
    </row>
    <row r="23" spans="1:60" x14ac:dyDescent="0.2">
      <c r="A23" s="13" t="s">
        <v>5</v>
      </c>
      <c r="B23" s="13">
        <v>1</v>
      </c>
      <c r="C23" s="12" t="s">
        <v>48</v>
      </c>
      <c r="D23" s="13">
        <v>0.93</v>
      </c>
      <c r="E23" s="13">
        <f t="shared" si="1"/>
        <v>0.85</v>
      </c>
      <c r="F23" s="12">
        <v>20</v>
      </c>
      <c r="G23" s="13">
        <v>0</v>
      </c>
      <c r="H23" s="13">
        <f t="shared" si="2"/>
        <v>17</v>
      </c>
      <c r="I23" s="13" t="s">
        <v>96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9</v>
      </c>
      <c r="R23" s="13">
        <v>0</v>
      </c>
      <c r="S23" s="13">
        <v>6</v>
      </c>
      <c r="T23" s="13">
        <v>0</v>
      </c>
      <c r="U23" s="13">
        <v>0</v>
      </c>
      <c r="V23" s="13">
        <v>2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>
        <v>0</v>
      </c>
      <c r="BH23" s="2"/>
    </row>
    <row r="24" spans="1:60" x14ac:dyDescent="0.2">
      <c r="A24" s="13" t="s">
        <v>5</v>
      </c>
      <c r="B24" s="13">
        <v>1</v>
      </c>
      <c r="C24" s="12" t="s">
        <v>48</v>
      </c>
      <c r="D24" s="13">
        <v>0.93</v>
      </c>
      <c r="E24" s="13">
        <f t="shared" si="1"/>
        <v>0.9</v>
      </c>
      <c r="F24" s="12">
        <v>20</v>
      </c>
      <c r="G24" s="13">
        <v>0</v>
      </c>
      <c r="H24" s="13">
        <f t="shared" si="2"/>
        <v>18</v>
      </c>
      <c r="I24" s="13" t="s">
        <v>97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14</v>
      </c>
      <c r="R24" s="13">
        <v>0</v>
      </c>
      <c r="S24" s="13">
        <v>3</v>
      </c>
      <c r="T24" s="13">
        <v>0</v>
      </c>
      <c r="U24" s="13">
        <v>0</v>
      </c>
      <c r="V24" s="13">
        <v>1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2">
        <v>0</v>
      </c>
      <c r="AS24" s="12">
        <v>0</v>
      </c>
      <c r="AT24" s="12">
        <v>0</v>
      </c>
      <c r="AU24" s="12">
        <v>0</v>
      </c>
      <c r="AV24" s="12">
        <v>0</v>
      </c>
      <c r="AW24" s="12">
        <v>0</v>
      </c>
      <c r="AX24" s="12">
        <v>0</v>
      </c>
      <c r="AY24" s="12">
        <v>0</v>
      </c>
      <c r="AZ24" s="12">
        <v>0</v>
      </c>
      <c r="BA24" s="12">
        <v>0</v>
      </c>
      <c r="BB24" s="12">
        <v>0</v>
      </c>
      <c r="BC24" s="12">
        <v>0</v>
      </c>
      <c r="BD24" s="12">
        <v>0</v>
      </c>
      <c r="BE24" s="12">
        <v>0</v>
      </c>
      <c r="BF24" s="12">
        <v>0</v>
      </c>
      <c r="BG24" s="12">
        <v>0</v>
      </c>
      <c r="BH24" s="2"/>
    </row>
    <row r="25" spans="1:60" x14ac:dyDescent="0.2">
      <c r="A25" s="13" t="s">
        <v>5</v>
      </c>
      <c r="B25" s="13">
        <v>1</v>
      </c>
      <c r="C25" s="12" t="s">
        <v>48</v>
      </c>
      <c r="D25" s="13">
        <v>0.93</v>
      </c>
      <c r="E25" s="13">
        <f t="shared" si="1"/>
        <v>0.9</v>
      </c>
      <c r="F25" s="12">
        <v>20</v>
      </c>
      <c r="G25" s="13">
        <v>0</v>
      </c>
      <c r="H25" s="13">
        <f t="shared" si="2"/>
        <v>18</v>
      </c>
      <c r="I25" s="13" t="s">
        <v>99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16</v>
      </c>
      <c r="R25" s="13">
        <v>0</v>
      </c>
      <c r="S25" s="13">
        <v>2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2">
        <v>0</v>
      </c>
      <c r="AN25" s="12">
        <v>0</v>
      </c>
      <c r="AO25" s="12">
        <v>0</v>
      </c>
      <c r="AP25" s="12">
        <v>0</v>
      </c>
      <c r="AQ25" s="12">
        <v>0</v>
      </c>
      <c r="AR25" s="12">
        <v>0</v>
      </c>
      <c r="AS25" s="12">
        <v>0</v>
      </c>
      <c r="AT25" s="12">
        <v>0</v>
      </c>
      <c r="AU25" s="12">
        <v>0</v>
      </c>
      <c r="AV25" s="12">
        <v>0</v>
      </c>
      <c r="AW25" s="12">
        <v>0</v>
      </c>
      <c r="AX25" s="12">
        <v>0</v>
      </c>
      <c r="AY25" s="12">
        <v>0</v>
      </c>
      <c r="AZ25" s="12">
        <v>0</v>
      </c>
      <c r="BA25" s="12">
        <v>0</v>
      </c>
      <c r="BB25" s="12">
        <v>0</v>
      </c>
      <c r="BC25" s="12">
        <v>0</v>
      </c>
      <c r="BD25" s="12">
        <v>0</v>
      </c>
      <c r="BE25" s="12">
        <v>0</v>
      </c>
      <c r="BF25" s="12">
        <v>0</v>
      </c>
      <c r="BG25" s="12">
        <v>0</v>
      </c>
      <c r="BH25" s="2"/>
    </row>
    <row r="26" spans="1:60" x14ac:dyDescent="0.2">
      <c r="A26" s="13" t="s">
        <v>5</v>
      </c>
      <c r="B26" s="13">
        <v>1</v>
      </c>
      <c r="C26" s="12" t="s">
        <v>48</v>
      </c>
      <c r="D26" s="13">
        <v>0.85</v>
      </c>
      <c r="E26" s="13">
        <f t="shared" si="1"/>
        <v>0.9</v>
      </c>
      <c r="F26" s="12">
        <v>20</v>
      </c>
      <c r="G26" s="13">
        <v>0</v>
      </c>
      <c r="H26" s="13">
        <f t="shared" si="2"/>
        <v>18</v>
      </c>
      <c r="I26" s="13" t="s">
        <v>100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18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2">
        <v>0</v>
      </c>
      <c r="AN26" s="12">
        <v>0</v>
      </c>
      <c r="AO26" s="12">
        <v>0</v>
      </c>
      <c r="AP26" s="12">
        <v>0</v>
      </c>
      <c r="AQ26" s="12">
        <v>0</v>
      </c>
      <c r="AR26" s="12">
        <v>0</v>
      </c>
      <c r="AS26" s="12">
        <v>0</v>
      </c>
      <c r="AT26" s="12">
        <v>0</v>
      </c>
      <c r="AU26" s="12">
        <v>0</v>
      </c>
      <c r="AV26" s="12">
        <v>0</v>
      </c>
      <c r="AW26" s="12">
        <v>0</v>
      </c>
      <c r="AX26" s="12">
        <v>0</v>
      </c>
      <c r="AY26" s="12">
        <v>0</v>
      </c>
      <c r="AZ26" s="12">
        <v>0</v>
      </c>
      <c r="BA26" s="12">
        <v>0</v>
      </c>
      <c r="BB26" s="12">
        <v>0</v>
      </c>
      <c r="BC26" s="12">
        <v>0</v>
      </c>
      <c r="BD26" s="12">
        <v>0</v>
      </c>
      <c r="BE26" s="12">
        <v>0</v>
      </c>
      <c r="BF26" s="12">
        <v>0</v>
      </c>
      <c r="BG26" s="12">
        <v>0</v>
      </c>
      <c r="BH26" s="2"/>
    </row>
    <row r="27" spans="1:60" x14ac:dyDescent="0.2">
      <c r="A27" s="13" t="s">
        <v>5</v>
      </c>
      <c r="B27" s="13">
        <v>1</v>
      </c>
      <c r="C27" s="12" t="s">
        <v>48</v>
      </c>
      <c r="D27" s="13">
        <v>0.96</v>
      </c>
      <c r="E27" s="13">
        <f t="shared" si="1"/>
        <v>0.9</v>
      </c>
      <c r="F27" s="12">
        <v>20</v>
      </c>
      <c r="G27" s="13">
        <v>0</v>
      </c>
      <c r="H27" s="13">
        <f t="shared" si="2"/>
        <v>18</v>
      </c>
      <c r="I27" s="13" t="s">
        <v>109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4</v>
      </c>
      <c r="P27" s="13">
        <v>0</v>
      </c>
      <c r="Q27" s="13">
        <v>13</v>
      </c>
      <c r="R27" s="13">
        <v>0</v>
      </c>
      <c r="S27" s="13">
        <v>0</v>
      </c>
      <c r="T27" s="13">
        <v>0</v>
      </c>
      <c r="U27" s="13">
        <v>0</v>
      </c>
      <c r="V27" s="13">
        <v>1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>
        <v>0</v>
      </c>
      <c r="BH27" s="2"/>
    </row>
    <row r="28" spans="1:60" x14ac:dyDescent="0.2">
      <c r="A28" s="13" t="s">
        <v>5</v>
      </c>
      <c r="B28" s="13">
        <v>1</v>
      </c>
      <c r="C28" s="12" t="s">
        <v>48</v>
      </c>
      <c r="D28" s="13">
        <v>0.83</v>
      </c>
      <c r="E28" s="13">
        <f t="shared" si="1"/>
        <v>0.75</v>
      </c>
      <c r="F28" s="12">
        <v>20</v>
      </c>
      <c r="G28" s="13">
        <v>0</v>
      </c>
      <c r="H28" s="13">
        <f t="shared" si="2"/>
        <v>15</v>
      </c>
      <c r="I28" s="13" t="s">
        <v>110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15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0</v>
      </c>
      <c r="BC28" s="12">
        <v>0</v>
      </c>
      <c r="BD28" s="12">
        <v>0</v>
      </c>
      <c r="BE28" s="12">
        <v>0</v>
      </c>
      <c r="BF28" s="12">
        <v>0</v>
      </c>
      <c r="BG28" s="12">
        <v>0</v>
      </c>
      <c r="BH28" s="2"/>
    </row>
    <row r="29" spans="1:60" x14ac:dyDescent="0.2">
      <c r="A29" s="13" t="s">
        <v>5</v>
      </c>
      <c r="B29" s="13">
        <v>1</v>
      </c>
      <c r="C29" s="12" t="s">
        <v>48</v>
      </c>
      <c r="D29" s="13">
        <v>0.52</v>
      </c>
      <c r="E29" s="13">
        <f t="shared" si="1"/>
        <v>0.9</v>
      </c>
      <c r="F29" s="12">
        <v>20</v>
      </c>
      <c r="G29" s="13">
        <v>0</v>
      </c>
      <c r="H29" s="13">
        <f t="shared" si="2"/>
        <v>18</v>
      </c>
      <c r="I29" s="13" t="s">
        <v>111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4</v>
      </c>
      <c r="P29" s="13">
        <v>0</v>
      </c>
      <c r="Q29" s="13">
        <v>14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2">
        <v>0</v>
      </c>
      <c r="AN29" s="12">
        <v>0</v>
      </c>
      <c r="AO29" s="12">
        <v>0</v>
      </c>
      <c r="AP29" s="12">
        <v>0</v>
      </c>
      <c r="AQ29" s="12">
        <v>0</v>
      </c>
      <c r="AR29" s="12">
        <v>0</v>
      </c>
      <c r="AS29" s="12">
        <v>0</v>
      </c>
      <c r="AT29" s="12">
        <v>0</v>
      </c>
      <c r="AU29" s="12">
        <v>0</v>
      </c>
      <c r="AV29" s="12">
        <v>0</v>
      </c>
      <c r="AW29" s="12">
        <v>0</v>
      </c>
      <c r="AX29" s="12">
        <v>0</v>
      </c>
      <c r="AY29" s="12">
        <v>0</v>
      </c>
      <c r="AZ29" s="12">
        <v>0</v>
      </c>
      <c r="BA29" s="12">
        <v>0</v>
      </c>
      <c r="BB29" s="12">
        <v>0</v>
      </c>
      <c r="BC29" s="12">
        <v>0</v>
      </c>
      <c r="BD29" s="12">
        <v>0</v>
      </c>
      <c r="BE29" s="12">
        <v>0</v>
      </c>
      <c r="BF29" s="12">
        <v>0</v>
      </c>
      <c r="BG29" s="12">
        <v>0</v>
      </c>
      <c r="BH29" s="2"/>
    </row>
    <row r="30" spans="1:60" x14ac:dyDescent="0.2">
      <c r="A30" s="13" t="s">
        <v>5</v>
      </c>
      <c r="B30" s="13">
        <v>1</v>
      </c>
      <c r="C30" s="12" t="s">
        <v>48</v>
      </c>
      <c r="D30" s="13">
        <v>0.8</v>
      </c>
      <c r="E30" s="13">
        <f t="shared" si="1"/>
        <v>0.65</v>
      </c>
      <c r="F30" s="12">
        <v>20</v>
      </c>
      <c r="G30" s="13">
        <v>0</v>
      </c>
      <c r="H30" s="13">
        <f t="shared" si="2"/>
        <v>13</v>
      </c>
      <c r="I30" s="13" t="s">
        <v>101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6</v>
      </c>
      <c r="R30" s="13">
        <v>0</v>
      </c>
      <c r="S30" s="13">
        <v>7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2">
        <v>0</v>
      </c>
      <c r="AN30" s="12">
        <v>0</v>
      </c>
      <c r="AO30" s="12">
        <v>0</v>
      </c>
      <c r="AP30" s="12">
        <v>0</v>
      </c>
      <c r="AQ30" s="12">
        <v>0</v>
      </c>
      <c r="AR30" s="12">
        <v>0</v>
      </c>
      <c r="AS30" s="12">
        <v>0</v>
      </c>
      <c r="AT30" s="12">
        <v>0</v>
      </c>
      <c r="AU30" s="12">
        <v>0</v>
      </c>
      <c r="AV30" s="12">
        <v>0</v>
      </c>
      <c r="AW30" s="12">
        <v>0</v>
      </c>
      <c r="AX30" s="12">
        <v>0</v>
      </c>
      <c r="AY30" s="12">
        <v>0</v>
      </c>
      <c r="AZ30" s="12">
        <v>0</v>
      </c>
      <c r="BA30" s="12">
        <v>0</v>
      </c>
      <c r="BB30" s="12">
        <v>0</v>
      </c>
      <c r="BC30" s="12">
        <v>0</v>
      </c>
      <c r="BD30" s="12">
        <v>0</v>
      </c>
      <c r="BE30" s="12">
        <v>0</v>
      </c>
      <c r="BF30" s="12">
        <v>0</v>
      </c>
      <c r="BG30" s="12">
        <v>0</v>
      </c>
      <c r="BH30" s="2"/>
    </row>
    <row r="31" spans="1:60" s="6" customFormat="1" x14ac:dyDescent="0.2">
      <c r="A31" s="13" t="s">
        <v>5</v>
      </c>
      <c r="B31" s="14">
        <v>1</v>
      </c>
      <c r="C31" s="12" t="s">
        <v>48</v>
      </c>
      <c r="D31" s="14">
        <v>0.89</v>
      </c>
      <c r="E31" s="14">
        <f t="shared" si="1"/>
        <v>0</v>
      </c>
      <c r="F31" s="12">
        <v>20</v>
      </c>
      <c r="G31" s="14">
        <v>0</v>
      </c>
      <c r="H31" s="14">
        <f t="shared" si="2"/>
        <v>0</v>
      </c>
      <c r="I31" s="14" t="s">
        <v>112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>
        <v>0</v>
      </c>
      <c r="AI31" s="14">
        <v>0</v>
      </c>
      <c r="AJ31" s="14">
        <v>0</v>
      </c>
      <c r="AK31" s="14">
        <v>0</v>
      </c>
      <c r="AL31" s="14">
        <v>0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0</v>
      </c>
      <c r="AU31" s="12">
        <v>0</v>
      </c>
      <c r="AV31" s="12">
        <v>0</v>
      </c>
      <c r="AW31" s="12">
        <v>0</v>
      </c>
      <c r="AX31" s="12">
        <v>0</v>
      </c>
      <c r="AY31" s="12">
        <v>0</v>
      </c>
      <c r="AZ31" s="12">
        <v>0</v>
      </c>
      <c r="BA31" s="12">
        <v>0</v>
      </c>
      <c r="BB31" s="12">
        <v>0</v>
      </c>
      <c r="BC31" s="12">
        <v>0</v>
      </c>
      <c r="BD31" s="12">
        <v>0</v>
      </c>
      <c r="BE31" s="12">
        <v>0</v>
      </c>
      <c r="BF31" s="12">
        <v>0</v>
      </c>
      <c r="BG31" s="12">
        <v>0</v>
      </c>
      <c r="BH31" s="2"/>
    </row>
    <row r="32" spans="1:60" x14ac:dyDescent="0.2">
      <c r="A32" s="13" t="s">
        <v>6</v>
      </c>
      <c r="B32" s="13">
        <v>1</v>
      </c>
      <c r="C32" s="12" t="s">
        <v>48</v>
      </c>
      <c r="D32" s="13">
        <v>0.67</v>
      </c>
      <c r="E32" s="13">
        <f t="shared" si="1"/>
        <v>0.3</v>
      </c>
      <c r="F32" s="12">
        <v>20</v>
      </c>
      <c r="G32" s="13">
        <v>0</v>
      </c>
      <c r="H32" s="13">
        <f t="shared" si="2"/>
        <v>6</v>
      </c>
      <c r="I32" s="13" t="s">
        <v>105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1</v>
      </c>
      <c r="T32" s="13">
        <v>0</v>
      </c>
      <c r="U32" s="13">
        <v>0</v>
      </c>
      <c r="V32" s="13">
        <v>5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2">
        <v>0</v>
      </c>
      <c r="AN32" s="12">
        <v>0</v>
      </c>
      <c r="AO32" s="12">
        <v>0</v>
      </c>
      <c r="AP32" s="12">
        <v>0</v>
      </c>
      <c r="AQ32" s="12">
        <v>0</v>
      </c>
      <c r="AR32" s="12">
        <v>0</v>
      </c>
      <c r="AS32" s="12">
        <v>0</v>
      </c>
      <c r="AT32" s="12">
        <v>0</v>
      </c>
      <c r="AU32" s="12">
        <v>0</v>
      </c>
      <c r="AV32" s="12">
        <v>0</v>
      </c>
      <c r="AW32" s="12">
        <v>0</v>
      </c>
      <c r="AX32" s="12">
        <v>0</v>
      </c>
      <c r="AY32" s="12">
        <v>0</v>
      </c>
      <c r="AZ32" s="12">
        <v>0</v>
      </c>
      <c r="BA32" s="12">
        <v>0</v>
      </c>
      <c r="BB32" s="12">
        <v>0</v>
      </c>
      <c r="BC32" s="12">
        <v>0</v>
      </c>
      <c r="BD32" s="12">
        <v>0</v>
      </c>
      <c r="BE32" s="12">
        <v>0</v>
      </c>
      <c r="BF32" s="12">
        <v>0</v>
      </c>
      <c r="BG32" s="12">
        <v>0</v>
      </c>
      <c r="BH32" s="2"/>
    </row>
    <row r="33" spans="1:60" x14ac:dyDescent="0.2">
      <c r="A33" s="13" t="s">
        <v>6</v>
      </c>
      <c r="B33" s="13">
        <v>1</v>
      </c>
      <c r="C33" s="12" t="s">
        <v>48</v>
      </c>
      <c r="D33" s="13">
        <v>0.87</v>
      </c>
      <c r="E33" s="13">
        <f t="shared" si="1"/>
        <v>0.75</v>
      </c>
      <c r="F33" s="12">
        <v>20</v>
      </c>
      <c r="G33" s="13">
        <v>0</v>
      </c>
      <c r="H33" s="13">
        <f t="shared" si="2"/>
        <v>15</v>
      </c>
      <c r="I33" s="13" t="s">
        <v>107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14</v>
      </c>
      <c r="W33" s="13">
        <v>0</v>
      </c>
      <c r="X33" s="13">
        <v>1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2">
        <v>0</v>
      </c>
      <c r="AN33" s="12">
        <v>0</v>
      </c>
      <c r="AO33" s="12">
        <v>0</v>
      </c>
      <c r="AP33" s="12">
        <v>0</v>
      </c>
      <c r="AQ33" s="12">
        <v>0</v>
      </c>
      <c r="AR33" s="12">
        <v>0</v>
      </c>
      <c r="AS33" s="12">
        <v>0</v>
      </c>
      <c r="AT33" s="12">
        <v>0</v>
      </c>
      <c r="AU33" s="12">
        <v>0</v>
      </c>
      <c r="AV33" s="12">
        <v>0</v>
      </c>
      <c r="AW33" s="12">
        <v>0</v>
      </c>
      <c r="AX33" s="12">
        <v>0</v>
      </c>
      <c r="AY33" s="12">
        <v>0</v>
      </c>
      <c r="AZ33" s="12">
        <v>0</v>
      </c>
      <c r="BA33" s="12">
        <v>0</v>
      </c>
      <c r="BB33" s="12">
        <v>0</v>
      </c>
      <c r="BC33" s="12">
        <v>0</v>
      </c>
      <c r="BD33" s="12">
        <v>0</v>
      </c>
      <c r="BE33" s="12">
        <v>0</v>
      </c>
      <c r="BF33" s="12">
        <v>0</v>
      </c>
      <c r="BG33" s="12">
        <v>0</v>
      </c>
      <c r="BH33" s="2"/>
    </row>
    <row r="34" spans="1:60" x14ac:dyDescent="0.2">
      <c r="A34" s="13" t="s">
        <v>6</v>
      </c>
      <c r="B34" s="13">
        <v>1</v>
      </c>
      <c r="C34" s="12" t="s">
        <v>48</v>
      </c>
      <c r="D34" s="13">
        <v>0.92</v>
      </c>
      <c r="E34" s="13">
        <f t="shared" si="1"/>
        <v>0.8</v>
      </c>
      <c r="F34" s="12">
        <v>20</v>
      </c>
      <c r="G34" s="13">
        <v>0</v>
      </c>
      <c r="H34" s="13">
        <f t="shared" si="2"/>
        <v>16</v>
      </c>
      <c r="I34" s="13" t="s">
        <v>94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16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2"/>
    </row>
    <row r="35" spans="1:60" x14ac:dyDescent="0.2">
      <c r="A35" s="13" t="s">
        <v>6</v>
      </c>
      <c r="B35" s="13">
        <v>1</v>
      </c>
      <c r="C35" s="12" t="s">
        <v>48</v>
      </c>
      <c r="D35" s="13">
        <v>0.93</v>
      </c>
      <c r="E35" s="13">
        <f t="shared" si="1"/>
        <v>0.75</v>
      </c>
      <c r="F35" s="12">
        <v>20</v>
      </c>
      <c r="G35" s="13">
        <v>0</v>
      </c>
      <c r="H35" s="13">
        <f t="shared" si="2"/>
        <v>15</v>
      </c>
      <c r="I35" s="13" t="s">
        <v>108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3</v>
      </c>
      <c r="T35" s="13">
        <v>0</v>
      </c>
      <c r="U35" s="13">
        <v>0</v>
      </c>
      <c r="V35" s="13">
        <v>11</v>
      </c>
      <c r="W35" s="13">
        <v>0</v>
      </c>
      <c r="X35" s="13">
        <v>1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2"/>
    </row>
    <row r="36" spans="1:60" x14ac:dyDescent="0.2">
      <c r="A36" s="13" t="s">
        <v>6</v>
      </c>
      <c r="B36" s="13">
        <v>1</v>
      </c>
      <c r="C36" s="12" t="s">
        <v>48</v>
      </c>
      <c r="D36" s="13">
        <v>0.95</v>
      </c>
      <c r="E36" s="13">
        <f t="shared" si="1"/>
        <v>0.95</v>
      </c>
      <c r="F36" s="12">
        <v>20</v>
      </c>
      <c r="G36" s="13">
        <v>0</v>
      </c>
      <c r="H36" s="13">
        <f t="shared" si="2"/>
        <v>19</v>
      </c>
      <c r="I36" s="13" t="s">
        <v>95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6</v>
      </c>
      <c r="T36" s="13">
        <v>0</v>
      </c>
      <c r="U36" s="13">
        <v>0</v>
      </c>
      <c r="V36" s="13">
        <v>12</v>
      </c>
      <c r="W36" s="13">
        <v>0</v>
      </c>
      <c r="X36" s="13">
        <v>1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2"/>
    </row>
    <row r="37" spans="1:60" x14ac:dyDescent="0.2">
      <c r="A37" s="13" t="s">
        <v>6</v>
      </c>
      <c r="B37" s="13">
        <v>1</v>
      </c>
      <c r="C37" s="12" t="s">
        <v>48</v>
      </c>
      <c r="D37" s="13">
        <v>0.93</v>
      </c>
      <c r="E37" s="13">
        <f t="shared" si="1"/>
        <v>0.85</v>
      </c>
      <c r="F37" s="12">
        <v>20</v>
      </c>
      <c r="G37" s="13">
        <v>0</v>
      </c>
      <c r="H37" s="13">
        <f t="shared" si="2"/>
        <v>17</v>
      </c>
      <c r="I37" s="13" t="s">
        <v>96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16</v>
      </c>
      <c r="W37" s="13">
        <v>0</v>
      </c>
      <c r="X37" s="13">
        <v>1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2"/>
    </row>
    <row r="38" spans="1:60" x14ac:dyDescent="0.2">
      <c r="A38" s="13" t="s">
        <v>6</v>
      </c>
      <c r="B38" s="13">
        <v>1</v>
      </c>
      <c r="C38" s="12" t="s">
        <v>48</v>
      </c>
      <c r="D38" s="13">
        <v>0.93</v>
      </c>
      <c r="E38" s="13">
        <f t="shared" si="1"/>
        <v>0.95</v>
      </c>
      <c r="F38" s="12">
        <v>20</v>
      </c>
      <c r="G38" s="13">
        <v>0</v>
      </c>
      <c r="H38" s="13">
        <f t="shared" si="2"/>
        <v>19</v>
      </c>
      <c r="I38" s="13" t="s">
        <v>97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2</v>
      </c>
      <c r="T38" s="13">
        <v>0</v>
      </c>
      <c r="U38" s="13">
        <v>0</v>
      </c>
      <c r="V38" s="13">
        <v>17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2"/>
    </row>
    <row r="39" spans="1:60" s="5" customFormat="1" x14ac:dyDescent="0.2">
      <c r="A39" s="13" t="s">
        <v>6</v>
      </c>
      <c r="B39" s="13">
        <v>1</v>
      </c>
      <c r="C39" s="12" t="s">
        <v>48</v>
      </c>
      <c r="D39" s="13">
        <v>0.93</v>
      </c>
      <c r="E39" s="13">
        <f t="shared" si="1"/>
        <v>0.85</v>
      </c>
      <c r="F39" s="12">
        <v>20</v>
      </c>
      <c r="G39" s="13">
        <v>0</v>
      </c>
      <c r="H39" s="13">
        <f t="shared" si="2"/>
        <v>17</v>
      </c>
      <c r="I39" s="13" t="s">
        <v>98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15</v>
      </c>
      <c r="W39" s="13">
        <v>0</v>
      </c>
      <c r="X39" s="13">
        <v>0</v>
      </c>
      <c r="Y39" s="13">
        <v>0</v>
      </c>
      <c r="Z39" s="13">
        <v>1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1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</row>
    <row r="40" spans="1:60" s="5" customFormat="1" x14ac:dyDescent="0.2">
      <c r="A40" s="13" t="s">
        <v>6</v>
      </c>
      <c r="B40" s="13">
        <v>1</v>
      </c>
      <c r="C40" s="12" t="s">
        <v>48</v>
      </c>
      <c r="D40" s="13">
        <v>0.93</v>
      </c>
      <c r="E40" s="13">
        <f t="shared" si="1"/>
        <v>0.9</v>
      </c>
      <c r="F40" s="12">
        <v>20</v>
      </c>
      <c r="G40" s="13">
        <v>0</v>
      </c>
      <c r="H40" s="13">
        <f t="shared" si="2"/>
        <v>18</v>
      </c>
      <c r="I40" s="13" t="s">
        <v>99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1</v>
      </c>
      <c r="T40" s="13">
        <v>0</v>
      </c>
      <c r="U40" s="13">
        <v>0</v>
      </c>
      <c r="V40" s="13">
        <v>10</v>
      </c>
      <c r="W40" s="13">
        <v>0</v>
      </c>
      <c r="X40" s="13">
        <v>4</v>
      </c>
      <c r="Y40" s="13">
        <v>0</v>
      </c>
      <c r="Z40" s="13">
        <v>0</v>
      </c>
      <c r="AA40" s="13">
        <v>0</v>
      </c>
      <c r="AB40" s="13">
        <v>0</v>
      </c>
      <c r="AC40" s="13">
        <v>2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1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</row>
    <row r="41" spans="1:60" x14ac:dyDescent="0.2">
      <c r="A41" s="13" t="s">
        <v>6</v>
      </c>
      <c r="B41" s="13">
        <v>1</v>
      </c>
      <c r="C41" s="12" t="s">
        <v>48</v>
      </c>
      <c r="D41" s="13">
        <v>0.85</v>
      </c>
      <c r="E41" s="13">
        <f t="shared" si="1"/>
        <v>0.9</v>
      </c>
      <c r="F41" s="12">
        <v>20</v>
      </c>
      <c r="G41" s="13">
        <v>1</v>
      </c>
      <c r="H41" s="13">
        <f t="shared" si="2"/>
        <v>17</v>
      </c>
      <c r="I41" s="13" t="s">
        <v>100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16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1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</row>
    <row r="42" spans="1:60" x14ac:dyDescent="0.2">
      <c r="A42" s="13" t="s">
        <v>6</v>
      </c>
      <c r="B42" s="13">
        <v>1</v>
      </c>
      <c r="C42" s="12" t="s">
        <v>48</v>
      </c>
      <c r="D42" s="13">
        <v>0.96</v>
      </c>
      <c r="E42" s="13">
        <f t="shared" si="1"/>
        <v>1</v>
      </c>
      <c r="F42" s="12">
        <v>20</v>
      </c>
      <c r="G42" s="13">
        <v>0</v>
      </c>
      <c r="H42" s="13">
        <f t="shared" si="2"/>
        <v>20</v>
      </c>
      <c r="I42" s="13" t="s">
        <v>109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4</v>
      </c>
      <c r="T42" s="13">
        <v>0</v>
      </c>
      <c r="U42" s="13">
        <v>0</v>
      </c>
      <c r="V42" s="13">
        <v>16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</row>
    <row r="43" spans="1:60" x14ac:dyDescent="0.2">
      <c r="A43" s="13" t="s">
        <v>6</v>
      </c>
      <c r="B43" s="13">
        <v>1</v>
      </c>
      <c r="C43" s="12" t="s">
        <v>48</v>
      </c>
      <c r="D43" s="13">
        <v>0.65</v>
      </c>
      <c r="E43" s="13">
        <f t="shared" si="1"/>
        <v>0.6</v>
      </c>
      <c r="F43" s="12">
        <v>20</v>
      </c>
      <c r="G43" s="13">
        <v>0</v>
      </c>
      <c r="H43" s="13">
        <f t="shared" si="2"/>
        <v>12</v>
      </c>
      <c r="I43" s="13" t="s">
        <v>113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8</v>
      </c>
      <c r="T43" s="13">
        <v>0</v>
      </c>
      <c r="U43" s="13">
        <v>0</v>
      </c>
      <c r="V43" s="13">
        <v>4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</row>
    <row r="44" spans="1:60" x14ac:dyDescent="0.2">
      <c r="A44" s="13" t="s">
        <v>6</v>
      </c>
      <c r="B44" s="13">
        <v>1</v>
      </c>
      <c r="C44" s="12" t="s">
        <v>48</v>
      </c>
      <c r="D44" s="13">
        <v>0.52</v>
      </c>
      <c r="E44" s="13">
        <f t="shared" si="1"/>
        <v>0.65</v>
      </c>
      <c r="F44" s="12">
        <v>20</v>
      </c>
      <c r="G44" s="13">
        <v>0</v>
      </c>
      <c r="H44" s="13">
        <f t="shared" si="2"/>
        <v>13</v>
      </c>
      <c r="I44" s="13" t="s">
        <v>111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11</v>
      </c>
      <c r="T44" s="13">
        <v>0</v>
      </c>
      <c r="U44" s="13">
        <v>0</v>
      </c>
      <c r="V44" s="13">
        <v>0</v>
      </c>
      <c r="W44" s="13">
        <v>0</v>
      </c>
      <c r="X44" s="13">
        <v>2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</row>
    <row r="45" spans="1:60" s="5" customFormat="1" x14ac:dyDescent="0.2">
      <c r="A45" s="13" t="s">
        <v>6</v>
      </c>
      <c r="B45" s="13">
        <v>1</v>
      </c>
      <c r="C45" s="12" t="s">
        <v>48</v>
      </c>
      <c r="D45" s="13">
        <v>0.8</v>
      </c>
      <c r="E45" s="13">
        <f t="shared" si="1"/>
        <v>0.8</v>
      </c>
      <c r="F45" s="12">
        <v>20</v>
      </c>
      <c r="G45" s="13">
        <v>2</v>
      </c>
      <c r="H45" s="13">
        <f t="shared" si="2"/>
        <v>14</v>
      </c>
      <c r="I45" s="13" t="s">
        <v>101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1</v>
      </c>
      <c r="T45" s="13">
        <v>0</v>
      </c>
      <c r="U45" s="13">
        <v>0</v>
      </c>
      <c r="V45" s="13">
        <v>12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1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</row>
    <row r="46" spans="1:60" s="6" customFormat="1" x14ac:dyDescent="0.2">
      <c r="A46" s="13" t="s">
        <v>6</v>
      </c>
      <c r="B46" s="14">
        <v>1</v>
      </c>
      <c r="C46" s="12" t="s">
        <v>48</v>
      </c>
      <c r="D46" s="14">
        <v>0.92</v>
      </c>
      <c r="E46" s="14">
        <f t="shared" si="1"/>
        <v>0.85</v>
      </c>
      <c r="F46" s="12">
        <v>20</v>
      </c>
      <c r="G46" s="14">
        <v>1</v>
      </c>
      <c r="H46" s="14">
        <f t="shared" si="2"/>
        <v>16</v>
      </c>
      <c r="I46" s="14" t="s">
        <v>102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5</v>
      </c>
      <c r="R46" s="14">
        <v>0</v>
      </c>
      <c r="S46" s="14">
        <v>9</v>
      </c>
      <c r="T46" s="14">
        <v>0</v>
      </c>
      <c r="U46" s="14">
        <v>0</v>
      </c>
      <c r="V46" s="14">
        <v>2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4">
        <v>0</v>
      </c>
      <c r="AH46" s="14">
        <v>0</v>
      </c>
      <c r="AI46" s="14">
        <v>0</v>
      </c>
      <c r="AJ46" s="14">
        <v>0</v>
      </c>
      <c r="AK46" s="14">
        <v>0</v>
      </c>
      <c r="AL46" s="14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</row>
    <row r="47" spans="1:60" x14ac:dyDescent="0.2">
      <c r="A47" s="13" t="s">
        <v>7</v>
      </c>
      <c r="B47" s="13">
        <v>1</v>
      </c>
      <c r="C47" s="12" t="s">
        <v>48</v>
      </c>
      <c r="D47" s="13">
        <v>0.84</v>
      </c>
      <c r="E47" s="13">
        <f t="shared" si="1"/>
        <v>0.75</v>
      </c>
      <c r="F47" s="12">
        <v>20</v>
      </c>
      <c r="G47" s="13">
        <v>0</v>
      </c>
      <c r="H47" s="13">
        <f t="shared" si="2"/>
        <v>15</v>
      </c>
      <c r="I47" s="13" t="s">
        <v>114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13</v>
      </c>
      <c r="R47" s="13">
        <v>0</v>
      </c>
      <c r="S47" s="13">
        <v>2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</row>
    <row r="48" spans="1:60" x14ac:dyDescent="0.2">
      <c r="A48" s="13" t="s">
        <v>7</v>
      </c>
      <c r="B48" s="13">
        <v>1</v>
      </c>
      <c r="C48" s="12" t="s">
        <v>48</v>
      </c>
      <c r="D48" s="13">
        <v>0.92</v>
      </c>
      <c r="E48" s="13">
        <f t="shared" si="1"/>
        <v>1</v>
      </c>
      <c r="F48" s="12">
        <v>20</v>
      </c>
      <c r="G48" s="13">
        <v>0</v>
      </c>
      <c r="H48" s="13">
        <f t="shared" si="2"/>
        <v>20</v>
      </c>
      <c r="I48" s="13" t="s">
        <v>115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10</v>
      </c>
      <c r="P48" s="13">
        <v>0</v>
      </c>
      <c r="Q48" s="13">
        <v>10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</row>
    <row r="49" spans="1:59" x14ac:dyDescent="0.2">
      <c r="A49" s="13" t="s">
        <v>7</v>
      </c>
      <c r="B49" s="13">
        <v>1</v>
      </c>
      <c r="C49" s="12" t="s">
        <v>48</v>
      </c>
      <c r="D49" s="13">
        <v>0.87</v>
      </c>
      <c r="E49" s="13">
        <f t="shared" si="1"/>
        <v>0.85</v>
      </c>
      <c r="F49" s="12">
        <v>20</v>
      </c>
      <c r="G49" s="13">
        <v>0</v>
      </c>
      <c r="H49" s="13">
        <f t="shared" si="2"/>
        <v>17</v>
      </c>
      <c r="I49" s="13" t="s">
        <v>107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17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</row>
    <row r="50" spans="1:59" x14ac:dyDescent="0.2">
      <c r="A50" s="13" t="s">
        <v>7</v>
      </c>
      <c r="B50" s="13">
        <v>1</v>
      </c>
      <c r="C50" s="12" t="s">
        <v>48</v>
      </c>
      <c r="D50" s="13">
        <v>0.74</v>
      </c>
      <c r="E50" s="13">
        <f t="shared" si="1"/>
        <v>0.65</v>
      </c>
      <c r="F50" s="12">
        <v>20</v>
      </c>
      <c r="G50" s="13">
        <v>0</v>
      </c>
      <c r="H50" s="13">
        <f t="shared" si="2"/>
        <v>13</v>
      </c>
      <c r="I50" s="13" t="s">
        <v>116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1</v>
      </c>
      <c r="P50" s="13">
        <v>0</v>
      </c>
      <c r="Q50" s="13">
        <v>9</v>
      </c>
      <c r="R50" s="13">
        <v>0</v>
      </c>
      <c r="S50" s="13">
        <v>3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</row>
    <row r="51" spans="1:59" x14ac:dyDescent="0.2">
      <c r="A51" s="13" t="s">
        <v>7</v>
      </c>
      <c r="B51" s="13">
        <v>1</v>
      </c>
      <c r="C51" s="12" t="s">
        <v>48</v>
      </c>
      <c r="D51" s="13">
        <v>0.64</v>
      </c>
      <c r="E51" s="13">
        <f t="shared" si="1"/>
        <v>0.25</v>
      </c>
      <c r="F51" s="12">
        <v>20</v>
      </c>
      <c r="G51" s="13">
        <v>0</v>
      </c>
      <c r="H51" s="13">
        <f t="shared" si="2"/>
        <v>5</v>
      </c>
      <c r="I51" s="13" t="s">
        <v>117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1</v>
      </c>
      <c r="W51" s="13">
        <v>0</v>
      </c>
      <c r="X51" s="13">
        <v>0</v>
      </c>
      <c r="Y51" s="13">
        <v>0</v>
      </c>
      <c r="Z51" s="13">
        <v>3</v>
      </c>
      <c r="AA51" s="13">
        <v>0</v>
      </c>
      <c r="AB51" s="13">
        <v>0</v>
      </c>
      <c r="AC51" s="13">
        <v>1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</row>
    <row r="52" spans="1:59" x14ac:dyDescent="0.2">
      <c r="A52" s="13" t="s">
        <v>7</v>
      </c>
      <c r="B52" s="13">
        <v>1</v>
      </c>
      <c r="C52" s="12" t="s">
        <v>48</v>
      </c>
      <c r="D52" s="13">
        <v>0.82</v>
      </c>
      <c r="E52" s="13">
        <f t="shared" si="1"/>
        <v>0.85</v>
      </c>
      <c r="F52" s="12">
        <v>20</v>
      </c>
      <c r="G52" s="13">
        <v>0</v>
      </c>
      <c r="H52" s="13">
        <f t="shared" si="2"/>
        <v>17</v>
      </c>
      <c r="I52" s="13" t="s">
        <v>92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14</v>
      </c>
      <c r="R52" s="13">
        <v>0</v>
      </c>
      <c r="S52" s="13">
        <v>2</v>
      </c>
      <c r="T52" s="13">
        <v>0</v>
      </c>
      <c r="U52" s="13">
        <v>0</v>
      </c>
      <c r="V52" s="13">
        <v>1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</row>
    <row r="53" spans="1:59" x14ac:dyDescent="0.2">
      <c r="A53" s="13" t="s">
        <v>7</v>
      </c>
      <c r="B53" s="13">
        <v>1</v>
      </c>
      <c r="C53" s="12" t="s">
        <v>48</v>
      </c>
      <c r="D53" s="13">
        <v>0.89</v>
      </c>
      <c r="E53" s="13">
        <f t="shared" si="1"/>
        <v>0.7</v>
      </c>
      <c r="F53" s="12">
        <v>20</v>
      </c>
      <c r="G53" s="13">
        <v>2</v>
      </c>
      <c r="H53" s="13">
        <f t="shared" si="2"/>
        <v>12</v>
      </c>
      <c r="I53" s="13" t="s">
        <v>93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4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3</v>
      </c>
      <c r="AA53" s="13">
        <v>0</v>
      </c>
      <c r="AB53" s="13">
        <v>0</v>
      </c>
      <c r="AC53" s="13">
        <v>0</v>
      </c>
      <c r="AD53" s="13">
        <v>0</v>
      </c>
      <c r="AE53" s="13">
        <v>5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</row>
    <row r="54" spans="1:59" x14ac:dyDescent="0.2">
      <c r="A54" s="13" t="s">
        <v>7</v>
      </c>
      <c r="B54" s="13">
        <v>1</v>
      </c>
      <c r="C54" s="12" t="s">
        <v>48</v>
      </c>
      <c r="D54" s="13">
        <v>0.93</v>
      </c>
      <c r="E54" s="13">
        <f t="shared" si="1"/>
        <v>0.75</v>
      </c>
      <c r="F54" s="12">
        <v>20</v>
      </c>
      <c r="G54" s="13">
        <v>0</v>
      </c>
      <c r="H54" s="13">
        <f t="shared" si="2"/>
        <v>15</v>
      </c>
      <c r="I54" s="13" t="s">
        <v>108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6</v>
      </c>
      <c r="R54" s="13">
        <v>0</v>
      </c>
      <c r="S54" s="13">
        <v>6</v>
      </c>
      <c r="T54" s="13">
        <v>0</v>
      </c>
      <c r="U54" s="13">
        <v>0</v>
      </c>
      <c r="V54" s="13">
        <v>3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</row>
    <row r="55" spans="1:59" x14ac:dyDescent="0.2">
      <c r="A55" s="13" t="s">
        <v>7</v>
      </c>
      <c r="B55" s="13">
        <v>1</v>
      </c>
      <c r="C55" s="12" t="s">
        <v>48</v>
      </c>
      <c r="D55" s="13">
        <v>0.95</v>
      </c>
      <c r="E55" s="13">
        <f t="shared" si="1"/>
        <v>0.6</v>
      </c>
      <c r="F55" s="12">
        <v>20</v>
      </c>
      <c r="G55" s="13">
        <v>3</v>
      </c>
      <c r="H55" s="13">
        <f t="shared" si="2"/>
        <v>9</v>
      </c>
      <c r="I55" s="13" t="s">
        <v>95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8</v>
      </c>
      <c r="R55" s="13">
        <v>0</v>
      </c>
      <c r="S55" s="13">
        <v>1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</row>
    <row r="56" spans="1:59" x14ac:dyDescent="0.2">
      <c r="A56" s="13" t="s">
        <v>7</v>
      </c>
      <c r="B56" s="13">
        <v>1</v>
      </c>
      <c r="C56" s="12" t="s">
        <v>48</v>
      </c>
      <c r="D56" s="13">
        <v>0.93</v>
      </c>
      <c r="E56" s="13">
        <f t="shared" si="1"/>
        <v>0.9</v>
      </c>
      <c r="F56" s="12">
        <v>20</v>
      </c>
      <c r="G56" s="13">
        <v>0</v>
      </c>
      <c r="H56" s="13">
        <f t="shared" si="2"/>
        <v>18</v>
      </c>
      <c r="I56" s="13" t="s">
        <v>96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5</v>
      </c>
      <c r="R56" s="13">
        <v>0</v>
      </c>
      <c r="S56" s="13">
        <v>4</v>
      </c>
      <c r="T56" s="13">
        <v>0</v>
      </c>
      <c r="U56" s="13">
        <v>0</v>
      </c>
      <c r="V56" s="13">
        <v>8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1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</row>
    <row r="57" spans="1:59" x14ac:dyDescent="0.2">
      <c r="A57" s="13" t="s">
        <v>7</v>
      </c>
      <c r="B57" s="13">
        <v>1</v>
      </c>
      <c r="C57" s="12" t="s">
        <v>48</v>
      </c>
      <c r="D57" s="13">
        <v>0.85</v>
      </c>
      <c r="E57" s="13">
        <f t="shared" si="1"/>
        <v>0.7</v>
      </c>
      <c r="F57" s="12">
        <v>20</v>
      </c>
      <c r="G57" s="13">
        <v>0</v>
      </c>
      <c r="H57" s="13">
        <f t="shared" si="2"/>
        <v>14</v>
      </c>
      <c r="I57" s="13" t="s">
        <v>118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10</v>
      </c>
      <c r="R57" s="13">
        <v>0</v>
      </c>
      <c r="S57" s="13">
        <v>1</v>
      </c>
      <c r="T57" s="13">
        <v>0</v>
      </c>
      <c r="U57" s="13">
        <v>0</v>
      </c>
      <c r="V57" s="13">
        <v>2</v>
      </c>
      <c r="W57" s="13">
        <v>0</v>
      </c>
      <c r="X57" s="13">
        <v>0</v>
      </c>
      <c r="Y57" s="13">
        <v>0</v>
      </c>
      <c r="Z57" s="13">
        <v>1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</row>
    <row r="58" spans="1:59" x14ac:dyDescent="0.2">
      <c r="A58" s="13" t="s">
        <v>7</v>
      </c>
      <c r="B58" s="13">
        <v>1</v>
      </c>
      <c r="C58" s="12" t="s">
        <v>48</v>
      </c>
      <c r="D58" s="13">
        <v>0.83</v>
      </c>
      <c r="E58" s="13">
        <f t="shared" si="1"/>
        <v>0.75</v>
      </c>
      <c r="F58" s="12">
        <v>20</v>
      </c>
      <c r="G58" s="13">
        <v>0</v>
      </c>
      <c r="H58" s="13">
        <f t="shared" si="2"/>
        <v>15</v>
      </c>
      <c r="I58" s="13" t="s">
        <v>110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9</v>
      </c>
      <c r="R58" s="13">
        <v>0</v>
      </c>
      <c r="S58" s="13">
        <v>5</v>
      </c>
      <c r="T58" s="13">
        <v>0</v>
      </c>
      <c r="U58" s="13">
        <v>0</v>
      </c>
      <c r="V58" s="13">
        <v>0</v>
      </c>
      <c r="W58" s="13">
        <v>0</v>
      </c>
      <c r="X58" s="13">
        <v>1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</row>
    <row r="59" spans="1:59" x14ac:dyDescent="0.2">
      <c r="A59" s="13" t="s">
        <v>7</v>
      </c>
      <c r="B59" s="13">
        <v>1</v>
      </c>
      <c r="C59" s="12" t="s">
        <v>48</v>
      </c>
      <c r="D59" s="13">
        <v>0.52</v>
      </c>
      <c r="E59" s="13">
        <f t="shared" si="1"/>
        <v>0.55000000000000004</v>
      </c>
      <c r="F59" s="12">
        <v>20</v>
      </c>
      <c r="G59" s="13">
        <v>0</v>
      </c>
      <c r="H59" s="13">
        <f t="shared" si="2"/>
        <v>11</v>
      </c>
      <c r="I59" s="13" t="s">
        <v>111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5</v>
      </c>
      <c r="R59" s="13">
        <v>0</v>
      </c>
      <c r="S59" s="13">
        <v>2</v>
      </c>
      <c r="T59" s="13">
        <v>0</v>
      </c>
      <c r="U59" s="13">
        <v>0</v>
      </c>
      <c r="V59" s="13">
        <v>4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</row>
    <row r="60" spans="1:59" x14ac:dyDescent="0.2">
      <c r="A60" s="13" t="s">
        <v>7</v>
      </c>
      <c r="B60" s="13">
        <v>1</v>
      </c>
      <c r="C60" s="12" t="s">
        <v>48</v>
      </c>
      <c r="D60" s="13">
        <v>0.92</v>
      </c>
      <c r="E60" s="13">
        <f t="shared" si="1"/>
        <v>1</v>
      </c>
      <c r="F60" s="12">
        <v>20</v>
      </c>
      <c r="G60" s="13">
        <v>0</v>
      </c>
      <c r="H60" s="13">
        <f t="shared" si="2"/>
        <v>20</v>
      </c>
      <c r="I60" s="13" t="s">
        <v>102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15</v>
      </c>
      <c r="R60" s="13">
        <v>0</v>
      </c>
      <c r="S60" s="13">
        <v>3</v>
      </c>
      <c r="T60" s="13">
        <v>0</v>
      </c>
      <c r="U60" s="13">
        <v>0</v>
      </c>
      <c r="V60" s="13">
        <v>2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</row>
    <row r="61" spans="1:59" s="6" customFormat="1" x14ac:dyDescent="0.2">
      <c r="A61" s="13" t="s">
        <v>7</v>
      </c>
      <c r="B61" s="14">
        <v>1</v>
      </c>
      <c r="C61" s="12" t="s">
        <v>48</v>
      </c>
      <c r="D61" s="14">
        <v>0.86</v>
      </c>
      <c r="E61" s="14">
        <f t="shared" si="1"/>
        <v>0.8</v>
      </c>
      <c r="F61" s="12">
        <v>20</v>
      </c>
      <c r="G61" s="14">
        <v>0</v>
      </c>
      <c r="H61" s="14">
        <f t="shared" si="2"/>
        <v>16</v>
      </c>
      <c r="I61" s="14" t="s">
        <v>103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10</v>
      </c>
      <c r="R61" s="14">
        <v>0</v>
      </c>
      <c r="S61" s="14">
        <v>6</v>
      </c>
      <c r="T61" s="14">
        <v>0</v>
      </c>
      <c r="U61" s="14">
        <v>0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14">
        <v>0</v>
      </c>
      <c r="AE61" s="14">
        <v>0</v>
      </c>
      <c r="AF61" s="14">
        <v>0</v>
      </c>
      <c r="AG61" s="14">
        <v>0</v>
      </c>
      <c r="AH61" s="14">
        <v>0</v>
      </c>
      <c r="AI61" s="14">
        <v>0</v>
      </c>
      <c r="AJ61" s="14">
        <v>0</v>
      </c>
      <c r="AK61" s="14">
        <v>0</v>
      </c>
      <c r="AL61" s="14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</row>
    <row r="62" spans="1:59" s="5" customFormat="1" x14ac:dyDescent="0.2">
      <c r="A62" s="13" t="s">
        <v>8</v>
      </c>
      <c r="B62" s="13">
        <v>1</v>
      </c>
      <c r="C62" s="12" t="s">
        <v>48</v>
      </c>
      <c r="D62" s="13">
        <v>0.67</v>
      </c>
      <c r="E62" s="13">
        <f t="shared" si="1"/>
        <v>0.3</v>
      </c>
      <c r="F62" s="12">
        <v>20</v>
      </c>
      <c r="G62" s="13">
        <v>0</v>
      </c>
      <c r="H62" s="13">
        <f t="shared" si="2"/>
        <v>6</v>
      </c>
      <c r="I62" s="13" t="s">
        <v>105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1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5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</row>
    <row r="63" spans="1:59" x14ac:dyDescent="0.2">
      <c r="A63" s="13" t="s">
        <v>8</v>
      </c>
      <c r="B63" s="13">
        <v>1</v>
      </c>
      <c r="C63" s="12" t="s">
        <v>48</v>
      </c>
      <c r="D63" s="13">
        <v>0.82</v>
      </c>
      <c r="E63" s="13">
        <f t="shared" si="1"/>
        <v>0.85</v>
      </c>
      <c r="F63" s="12">
        <v>20</v>
      </c>
      <c r="G63" s="13">
        <v>0</v>
      </c>
      <c r="H63" s="13">
        <f t="shared" si="2"/>
        <v>17</v>
      </c>
      <c r="I63" s="13" t="s">
        <v>106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16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1</v>
      </c>
      <c r="AA63" s="13">
        <v>0</v>
      </c>
      <c r="AB63" s="13">
        <v>0</v>
      </c>
      <c r="AC63" s="13">
        <v>0</v>
      </c>
      <c r="AD63" s="13">
        <v>0</v>
      </c>
      <c r="AE63" s="13">
        <v>0</v>
      </c>
      <c r="AF63" s="13">
        <v>0</v>
      </c>
      <c r="AG63" s="13">
        <v>0</v>
      </c>
      <c r="AH63" s="13">
        <v>0</v>
      </c>
      <c r="AI63" s="13">
        <v>0</v>
      </c>
      <c r="AJ63" s="13">
        <v>0</v>
      </c>
      <c r="AK63" s="13">
        <v>0</v>
      </c>
      <c r="AL63" s="13">
        <v>0</v>
      </c>
      <c r="AM63" s="13">
        <v>0</v>
      </c>
      <c r="AN63" s="13">
        <v>0</v>
      </c>
      <c r="AO63" s="13">
        <v>0</v>
      </c>
      <c r="AP63" s="13">
        <v>0</v>
      </c>
      <c r="AQ63" s="13">
        <v>0</v>
      </c>
      <c r="AR63" s="13">
        <v>0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</row>
    <row r="64" spans="1:59" x14ac:dyDescent="0.2">
      <c r="A64" s="13" t="s">
        <v>8</v>
      </c>
      <c r="B64" s="13">
        <v>1</v>
      </c>
      <c r="C64" s="12" t="s">
        <v>48</v>
      </c>
      <c r="D64" s="13">
        <v>0.74</v>
      </c>
      <c r="E64" s="13">
        <f t="shared" si="1"/>
        <v>0.5</v>
      </c>
      <c r="F64" s="12">
        <v>20</v>
      </c>
      <c r="G64" s="13">
        <v>0</v>
      </c>
      <c r="H64" s="13">
        <f t="shared" si="2"/>
        <v>10</v>
      </c>
      <c r="I64" s="13" t="s">
        <v>119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10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13">
        <v>0</v>
      </c>
      <c r="AF64" s="13">
        <v>0</v>
      </c>
      <c r="AG64" s="13">
        <v>0</v>
      </c>
      <c r="AH64" s="13">
        <v>0</v>
      </c>
      <c r="AI64" s="13">
        <v>0</v>
      </c>
      <c r="AJ64" s="13">
        <v>0</v>
      </c>
      <c r="AK64" s="13">
        <v>0</v>
      </c>
      <c r="AL64" s="13">
        <v>0</v>
      </c>
      <c r="AM64" s="13">
        <v>0</v>
      </c>
      <c r="AN64" s="13">
        <v>0</v>
      </c>
      <c r="AO64" s="13">
        <v>0</v>
      </c>
      <c r="AP64" s="13">
        <v>0</v>
      </c>
      <c r="AQ64" s="13">
        <v>0</v>
      </c>
      <c r="AR64" s="13">
        <v>0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</row>
    <row r="65" spans="1:59" x14ac:dyDescent="0.2">
      <c r="A65" s="13" t="s">
        <v>8</v>
      </c>
      <c r="B65" s="13">
        <v>1</v>
      </c>
      <c r="C65" s="12" t="s">
        <v>48</v>
      </c>
      <c r="D65" s="13">
        <v>0.87</v>
      </c>
      <c r="E65" s="13">
        <f t="shared" si="1"/>
        <v>0.35</v>
      </c>
      <c r="F65" s="12">
        <v>20</v>
      </c>
      <c r="G65" s="13">
        <v>1</v>
      </c>
      <c r="H65" s="13">
        <f t="shared" si="2"/>
        <v>6</v>
      </c>
      <c r="I65" s="13" t="s">
        <v>107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1</v>
      </c>
      <c r="R65" s="13">
        <v>0</v>
      </c>
      <c r="S65" s="13">
        <v>5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13">
        <v>0</v>
      </c>
      <c r="AF65" s="13">
        <v>0</v>
      </c>
      <c r="AG65" s="13">
        <v>0</v>
      </c>
      <c r="AH65" s="13">
        <v>0</v>
      </c>
      <c r="AI65" s="13">
        <v>0</v>
      </c>
      <c r="AJ65" s="13">
        <v>0</v>
      </c>
      <c r="AK65" s="13">
        <v>0</v>
      </c>
      <c r="AL65" s="13">
        <v>0</v>
      </c>
      <c r="AM65" s="13">
        <v>0</v>
      </c>
      <c r="AN65" s="13">
        <v>0</v>
      </c>
      <c r="AO65" s="13">
        <v>0</v>
      </c>
      <c r="AP65" s="13">
        <v>0</v>
      </c>
      <c r="AQ65" s="13">
        <v>0</v>
      </c>
      <c r="AR65" s="13">
        <v>0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</row>
    <row r="66" spans="1:59" x14ac:dyDescent="0.2">
      <c r="A66" s="13" t="s">
        <v>8</v>
      </c>
      <c r="B66" s="13">
        <v>1</v>
      </c>
      <c r="C66" s="12" t="s">
        <v>48</v>
      </c>
      <c r="D66" s="13">
        <v>0.89</v>
      </c>
      <c r="E66" s="13">
        <f t="shared" si="1"/>
        <v>0.85</v>
      </c>
      <c r="F66" s="12">
        <v>20</v>
      </c>
      <c r="G66" s="13">
        <v>0</v>
      </c>
      <c r="H66" s="13">
        <f t="shared" si="2"/>
        <v>17</v>
      </c>
      <c r="I66" s="13" t="s">
        <v>93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7</v>
      </c>
      <c r="R66" s="13">
        <v>0</v>
      </c>
      <c r="S66" s="13">
        <v>5</v>
      </c>
      <c r="T66" s="13">
        <v>0</v>
      </c>
      <c r="U66" s="13">
        <v>0</v>
      </c>
      <c r="V66" s="13">
        <v>5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0</v>
      </c>
      <c r="AE66" s="13">
        <v>0</v>
      </c>
      <c r="AF66" s="13">
        <v>0</v>
      </c>
      <c r="AG66" s="13">
        <v>0</v>
      </c>
      <c r="AH66" s="13">
        <v>0</v>
      </c>
      <c r="AI66" s="13">
        <v>0</v>
      </c>
      <c r="AJ66" s="13">
        <v>0</v>
      </c>
      <c r="AK66" s="13">
        <v>0</v>
      </c>
      <c r="AL66" s="13">
        <v>0</v>
      </c>
      <c r="AM66" s="13">
        <v>0</v>
      </c>
      <c r="AN66" s="13">
        <v>0</v>
      </c>
      <c r="AO66" s="13">
        <v>0</v>
      </c>
      <c r="AP66" s="13">
        <v>0</v>
      </c>
      <c r="AQ66" s="13">
        <v>0</v>
      </c>
      <c r="AR66" s="13">
        <v>0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</row>
    <row r="67" spans="1:59" s="5" customFormat="1" x14ac:dyDescent="0.2">
      <c r="A67" s="13" t="s">
        <v>8</v>
      </c>
      <c r="B67" s="13">
        <v>1</v>
      </c>
      <c r="C67" s="12" t="s">
        <v>48</v>
      </c>
      <c r="D67" s="13">
        <v>0.93</v>
      </c>
      <c r="E67" s="13">
        <f t="shared" si="1"/>
        <v>0.85</v>
      </c>
      <c r="F67" s="12">
        <v>20</v>
      </c>
      <c r="G67" s="13">
        <v>0</v>
      </c>
      <c r="H67" s="13">
        <f t="shared" si="2"/>
        <v>17</v>
      </c>
      <c r="I67" s="13" t="s">
        <v>108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9</v>
      </c>
      <c r="T67" s="13">
        <v>0</v>
      </c>
      <c r="U67" s="13">
        <v>0</v>
      </c>
      <c r="V67" s="13">
        <v>6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13">
        <v>0</v>
      </c>
      <c r="AF67" s="13">
        <v>0</v>
      </c>
      <c r="AG67" s="13">
        <v>0</v>
      </c>
      <c r="AH67" s="13">
        <v>0</v>
      </c>
      <c r="AI67" s="13">
        <v>0</v>
      </c>
      <c r="AJ67" s="13">
        <v>0</v>
      </c>
      <c r="AK67" s="13">
        <v>0</v>
      </c>
      <c r="AL67" s="13">
        <v>2</v>
      </c>
      <c r="AM67" s="13">
        <v>0</v>
      </c>
      <c r="AN67" s="13">
        <v>0</v>
      </c>
      <c r="AO67" s="13">
        <v>0</v>
      </c>
      <c r="AP67" s="13">
        <v>0</v>
      </c>
      <c r="AQ67" s="13">
        <v>0</v>
      </c>
      <c r="AR67" s="13">
        <v>0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</row>
    <row r="68" spans="1:59" x14ac:dyDescent="0.2">
      <c r="A68" s="13" t="s">
        <v>8</v>
      </c>
      <c r="B68" s="13">
        <v>1</v>
      </c>
      <c r="C68" s="12" t="s">
        <v>48</v>
      </c>
      <c r="D68" s="13">
        <v>0.95</v>
      </c>
      <c r="E68" s="13">
        <f t="shared" ref="E68:E91" si="3">(H68+G68)/20</f>
        <v>0.95</v>
      </c>
      <c r="F68" s="12">
        <v>20</v>
      </c>
      <c r="G68" s="13">
        <v>0</v>
      </c>
      <c r="H68" s="13">
        <f t="shared" ref="H68:H91" si="4">SUM(J68:AY68)</f>
        <v>19</v>
      </c>
      <c r="I68" s="13" t="s">
        <v>95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1</v>
      </c>
      <c r="R68" s="13">
        <v>0</v>
      </c>
      <c r="S68" s="13">
        <v>14</v>
      </c>
      <c r="T68" s="13">
        <v>0</v>
      </c>
      <c r="U68" s="13">
        <v>0</v>
      </c>
      <c r="V68" s="13">
        <v>4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0</v>
      </c>
      <c r="AE68" s="13">
        <v>0</v>
      </c>
      <c r="AF68" s="13">
        <v>0</v>
      </c>
      <c r="AG68" s="13">
        <v>0</v>
      </c>
      <c r="AH68" s="13">
        <v>0</v>
      </c>
      <c r="AI68" s="13">
        <v>0</v>
      </c>
      <c r="AJ68" s="13">
        <v>0</v>
      </c>
      <c r="AK68" s="13">
        <v>0</v>
      </c>
      <c r="AL68" s="13">
        <v>0</v>
      </c>
      <c r="AM68" s="13">
        <v>0</v>
      </c>
      <c r="AN68" s="13">
        <v>0</v>
      </c>
      <c r="AO68" s="13">
        <v>0</v>
      </c>
      <c r="AP68" s="13">
        <v>0</v>
      </c>
      <c r="AQ68" s="13">
        <v>0</v>
      </c>
      <c r="AR68" s="13">
        <v>0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</row>
    <row r="69" spans="1:59" x14ac:dyDescent="0.2">
      <c r="A69" s="13" t="s">
        <v>8</v>
      </c>
      <c r="B69" s="13">
        <v>1</v>
      </c>
      <c r="C69" s="12" t="s">
        <v>48</v>
      </c>
      <c r="D69" s="13">
        <v>0.93</v>
      </c>
      <c r="E69" s="13">
        <f t="shared" si="3"/>
        <v>0.95</v>
      </c>
      <c r="F69" s="12">
        <v>20</v>
      </c>
      <c r="G69" s="13">
        <v>0</v>
      </c>
      <c r="H69" s="13">
        <f t="shared" si="4"/>
        <v>19</v>
      </c>
      <c r="I69" s="13" t="s">
        <v>96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2</v>
      </c>
      <c r="T69" s="13">
        <v>0</v>
      </c>
      <c r="U69" s="13">
        <v>0</v>
      </c>
      <c r="V69" s="13">
        <v>0</v>
      </c>
      <c r="W69" s="13">
        <v>0</v>
      </c>
      <c r="X69" s="13">
        <v>3</v>
      </c>
      <c r="Y69" s="13">
        <v>0</v>
      </c>
      <c r="Z69" s="13">
        <v>13</v>
      </c>
      <c r="AA69" s="13">
        <v>0</v>
      </c>
      <c r="AB69" s="13">
        <v>0</v>
      </c>
      <c r="AC69" s="13">
        <v>1</v>
      </c>
      <c r="AD69" s="13">
        <v>0</v>
      </c>
      <c r="AE69" s="13">
        <v>0</v>
      </c>
      <c r="AF69" s="13">
        <v>0</v>
      </c>
      <c r="AG69" s="13">
        <v>0</v>
      </c>
      <c r="AH69" s="13">
        <v>0</v>
      </c>
      <c r="AI69" s="13">
        <v>0</v>
      </c>
      <c r="AJ69" s="13">
        <v>0</v>
      </c>
      <c r="AK69" s="13">
        <v>0</v>
      </c>
      <c r="AL69" s="13">
        <v>0</v>
      </c>
      <c r="AM69" s="13">
        <v>0</v>
      </c>
      <c r="AN69" s="13">
        <v>0</v>
      </c>
      <c r="AO69" s="13">
        <v>0</v>
      </c>
      <c r="AP69" s="13">
        <v>0</v>
      </c>
      <c r="AQ69" s="13">
        <v>0</v>
      </c>
      <c r="AR69" s="13">
        <v>0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</row>
    <row r="70" spans="1:59" x14ac:dyDescent="0.2">
      <c r="A70" s="13" t="s">
        <v>8</v>
      </c>
      <c r="B70" s="13">
        <v>1</v>
      </c>
      <c r="C70" s="12" t="s">
        <v>48</v>
      </c>
      <c r="D70" s="13">
        <v>0.93</v>
      </c>
      <c r="E70" s="13">
        <f t="shared" si="3"/>
        <v>0.35</v>
      </c>
      <c r="F70" s="12">
        <v>20</v>
      </c>
      <c r="G70" s="13">
        <v>0</v>
      </c>
      <c r="H70" s="13">
        <f t="shared" si="4"/>
        <v>7</v>
      </c>
      <c r="I70" s="13" t="s">
        <v>97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2</v>
      </c>
      <c r="R70" s="13">
        <v>0</v>
      </c>
      <c r="S70" s="13">
        <v>5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0</v>
      </c>
      <c r="AE70" s="13">
        <v>0</v>
      </c>
      <c r="AF70" s="13">
        <v>0</v>
      </c>
      <c r="AG70" s="13">
        <v>0</v>
      </c>
      <c r="AH70" s="13">
        <v>0</v>
      </c>
      <c r="AI70" s="13">
        <v>0</v>
      </c>
      <c r="AJ70" s="13">
        <v>0</v>
      </c>
      <c r="AK70" s="13">
        <v>0</v>
      </c>
      <c r="AL70" s="13">
        <v>0</v>
      </c>
      <c r="AM70" s="13">
        <v>0</v>
      </c>
      <c r="AN70" s="13">
        <v>0</v>
      </c>
      <c r="AO70" s="13">
        <v>0</v>
      </c>
      <c r="AP70" s="13">
        <v>0</v>
      </c>
      <c r="AQ70" s="13">
        <v>0</v>
      </c>
      <c r="AR70" s="13">
        <v>0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</row>
    <row r="71" spans="1:59" x14ac:dyDescent="0.2">
      <c r="A71" s="13" t="s">
        <v>8</v>
      </c>
      <c r="B71" s="13">
        <v>1</v>
      </c>
      <c r="C71" s="12" t="s">
        <v>48</v>
      </c>
      <c r="D71" s="13">
        <v>0.85</v>
      </c>
      <c r="E71" s="13">
        <f t="shared" si="3"/>
        <v>0.8</v>
      </c>
      <c r="F71" s="12">
        <v>20</v>
      </c>
      <c r="G71" s="13">
        <v>0</v>
      </c>
      <c r="H71" s="13">
        <f t="shared" si="4"/>
        <v>16</v>
      </c>
      <c r="I71" s="13" t="s">
        <v>100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6</v>
      </c>
      <c r="R71" s="13">
        <v>0</v>
      </c>
      <c r="S71" s="13">
        <v>9</v>
      </c>
      <c r="T71" s="13">
        <v>0</v>
      </c>
      <c r="U71" s="13">
        <v>0</v>
      </c>
      <c r="V71" s="13">
        <v>1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13">
        <v>0</v>
      </c>
      <c r="AF71" s="13">
        <v>0</v>
      </c>
      <c r="AG71" s="13">
        <v>0</v>
      </c>
      <c r="AH71" s="13">
        <v>0</v>
      </c>
      <c r="AI71" s="13">
        <v>0</v>
      </c>
      <c r="AJ71" s="13">
        <v>0</v>
      </c>
      <c r="AK71" s="13">
        <v>0</v>
      </c>
      <c r="AL71" s="13">
        <v>0</v>
      </c>
      <c r="AM71" s="13">
        <v>0</v>
      </c>
      <c r="AN71" s="13">
        <v>0</v>
      </c>
      <c r="AO71" s="13">
        <v>0</v>
      </c>
      <c r="AP71" s="13">
        <v>0</v>
      </c>
      <c r="AQ71" s="13">
        <v>0</v>
      </c>
      <c r="AR71" s="13">
        <v>0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</row>
    <row r="72" spans="1:59" x14ac:dyDescent="0.2">
      <c r="A72" s="13" t="s">
        <v>8</v>
      </c>
      <c r="B72" s="13">
        <v>1</v>
      </c>
      <c r="C72" s="12" t="s">
        <v>48</v>
      </c>
      <c r="D72" s="13">
        <v>0.83</v>
      </c>
      <c r="E72" s="13">
        <f t="shared" si="3"/>
        <v>0.85</v>
      </c>
      <c r="F72" s="12">
        <v>20</v>
      </c>
      <c r="G72" s="13">
        <v>0</v>
      </c>
      <c r="H72" s="13">
        <f t="shared" si="4"/>
        <v>17</v>
      </c>
      <c r="I72" s="13" t="s">
        <v>110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7</v>
      </c>
      <c r="T72" s="13">
        <v>0</v>
      </c>
      <c r="U72" s="13">
        <v>0</v>
      </c>
      <c r="V72" s="13">
        <v>9</v>
      </c>
      <c r="W72" s="13">
        <v>0</v>
      </c>
      <c r="X72" s="13">
        <v>0</v>
      </c>
      <c r="Y72" s="13">
        <v>0</v>
      </c>
      <c r="Z72" s="13">
        <v>1</v>
      </c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>
        <v>0</v>
      </c>
      <c r="AJ72" s="13">
        <v>0</v>
      </c>
      <c r="AK72" s="13">
        <v>0</v>
      </c>
      <c r="AL72" s="13">
        <v>0</v>
      </c>
      <c r="AM72" s="13">
        <v>0</v>
      </c>
      <c r="AN72" s="13">
        <v>0</v>
      </c>
      <c r="AO72" s="13">
        <v>0</v>
      </c>
      <c r="AP72" s="13">
        <v>0</v>
      </c>
      <c r="AQ72" s="13">
        <v>0</v>
      </c>
      <c r="AR72" s="13">
        <v>0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</row>
    <row r="73" spans="1:59" x14ac:dyDescent="0.2">
      <c r="A73" s="13" t="s">
        <v>8</v>
      </c>
      <c r="B73" s="13">
        <v>1</v>
      </c>
      <c r="C73" s="12" t="s">
        <v>48</v>
      </c>
      <c r="D73" s="13">
        <v>0.52</v>
      </c>
      <c r="E73" s="13">
        <f t="shared" si="3"/>
        <v>0.55000000000000004</v>
      </c>
      <c r="F73" s="12">
        <v>20</v>
      </c>
      <c r="G73" s="13">
        <v>0</v>
      </c>
      <c r="H73" s="13">
        <f t="shared" si="4"/>
        <v>11</v>
      </c>
      <c r="I73" s="13" t="s">
        <v>111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5</v>
      </c>
      <c r="R73" s="13">
        <v>0</v>
      </c>
      <c r="S73" s="13">
        <v>2</v>
      </c>
      <c r="T73" s="13">
        <v>0</v>
      </c>
      <c r="U73" s="13">
        <v>0</v>
      </c>
      <c r="V73" s="13">
        <v>4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0</v>
      </c>
      <c r="AE73" s="13">
        <v>0</v>
      </c>
      <c r="AF73" s="13">
        <v>0</v>
      </c>
      <c r="AG73" s="13">
        <v>0</v>
      </c>
      <c r="AH73" s="13">
        <v>0</v>
      </c>
      <c r="AI73" s="13">
        <v>0</v>
      </c>
      <c r="AJ73" s="13">
        <v>0</v>
      </c>
      <c r="AK73" s="13">
        <v>0</v>
      </c>
      <c r="AL73" s="13">
        <v>0</v>
      </c>
      <c r="AM73" s="13">
        <v>0</v>
      </c>
      <c r="AN73" s="13">
        <v>0</v>
      </c>
      <c r="AO73" s="13">
        <v>0</v>
      </c>
      <c r="AP73" s="13">
        <v>0</v>
      </c>
      <c r="AQ73" s="13">
        <v>0</v>
      </c>
      <c r="AR73" s="13">
        <v>0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</row>
    <row r="74" spans="1:59" s="5" customFormat="1" x14ac:dyDescent="0.2">
      <c r="A74" s="13" t="s">
        <v>8</v>
      </c>
      <c r="B74" s="13">
        <v>1</v>
      </c>
      <c r="C74" s="12" t="s">
        <v>48</v>
      </c>
      <c r="D74" s="13">
        <v>0.8</v>
      </c>
      <c r="E74" s="13">
        <f t="shared" si="3"/>
        <v>0.55000000000000004</v>
      </c>
      <c r="F74" s="12">
        <v>20</v>
      </c>
      <c r="G74" s="13">
        <v>0</v>
      </c>
      <c r="H74" s="13">
        <f t="shared" si="4"/>
        <v>11</v>
      </c>
      <c r="I74" s="13" t="s">
        <v>101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3</v>
      </c>
      <c r="R74" s="13">
        <v>0</v>
      </c>
      <c r="S74" s="13">
        <v>5</v>
      </c>
      <c r="T74" s="13">
        <v>0</v>
      </c>
      <c r="U74" s="13">
        <v>0</v>
      </c>
      <c r="V74" s="13">
        <v>2</v>
      </c>
      <c r="W74" s="13">
        <v>0</v>
      </c>
      <c r="X74" s="13">
        <v>0</v>
      </c>
      <c r="Y74" s="13">
        <v>0</v>
      </c>
      <c r="Z74" s="13">
        <v>0</v>
      </c>
      <c r="AA74" s="13">
        <v>0</v>
      </c>
      <c r="AB74" s="13">
        <v>0</v>
      </c>
      <c r="AC74" s="13">
        <v>0</v>
      </c>
      <c r="AD74" s="13">
        <v>0</v>
      </c>
      <c r="AE74" s="13">
        <v>0</v>
      </c>
      <c r="AF74" s="13">
        <v>0</v>
      </c>
      <c r="AG74" s="13">
        <v>0</v>
      </c>
      <c r="AH74" s="13">
        <v>0</v>
      </c>
      <c r="AI74" s="13">
        <v>0</v>
      </c>
      <c r="AJ74" s="13">
        <v>0</v>
      </c>
      <c r="AK74" s="13">
        <v>0</v>
      </c>
      <c r="AL74" s="13">
        <v>1</v>
      </c>
      <c r="AM74" s="13">
        <v>0</v>
      </c>
      <c r="AN74" s="13">
        <v>0</v>
      </c>
      <c r="AO74" s="13">
        <v>0</v>
      </c>
      <c r="AP74" s="13">
        <v>0</v>
      </c>
      <c r="AQ74" s="13">
        <v>0</v>
      </c>
      <c r="AR74" s="13">
        <v>0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</row>
    <row r="75" spans="1:59" x14ac:dyDescent="0.2">
      <c r="A75" s="13" t="s">
        <v>8</v>
      </c>
      <c r="B75" s="13">
        <v>1</v>
      </c>
      <c r="C75" s="12" t="s">
        <v>48</v>
      </c>
      <c r="D75" s="13">
        <v>0.89</v>
      </c>
      <c r="E75" s="13">
        <f t="shared" si="3"/>
        <v>0.45</v>
      </c>
      <c r="F75" s="12">
        <v>20</v>
      </c>
      <c r="G75" s="13">
        <v>0</v>
      </c>
      <c r="H75" s="13">
        <f t="shared" si="4"/>
        <v>9</v>
      </c>
      <c r="I75" s="13" t="s">
        <v>112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9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0</v>
      </c>
      <c r="AE75" s="13">
        <v>0</v>
      </c>
      <c r="AF75" s="13">
        <v>0</v>
      </c>
      <c r="AG75" s="13">
        <v>0</v>
      </c>
      <c r="AH75" s="13">
        <v>0</v>
      </c>
      <c r="AI75" s="13">
        <v>0</v>
      </c>
      <c r="AJ75" s="13">
        <v>0</v>
      </c>
      <c r="AK75" s="13">
        <v>0</v>
      </c>
      <c r="AL75" s="13">
        <v>0</v>
      </c>
      <c r="AM75" s="13">
        <v>0</v>
      </c>
      <c r="AN75" s="13">
        <v>0</v>
      </c>
      <c r="AO75" s="13">
        <v>0</v>
      </c>
      <c r="AP75" s="13">
        <v>0</v>
      </c>
      <c r="AQ75" s="13">
        <v>0</v>
      </c>
      <c r="AR75" s="13">
        <v>0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</row>
    <row r="76" spans="1:59" s="6" customFormat="1" x14ac:dyDescent="0.2">
      <c r="A76" s="13" t="s">
        <v>8</v>
      </c>
      <c r="B76" s="14">
        <v>1</v>
      </c>
      <c r="C76" s="12" t="s">
        <v>48</v>
      </c>
      <c r="D76" s="14">
        <v>0.91</v>
      </c>
      <c r="E76" s="14">
        <f t="shared" si="3"/>
        <v>0.4</v>
      </c>
      <c r="F76" s="12">
        <v>20</v>
      </c>
      <c r="G76" s="14">
        <v>2</v>
      </c>
      <c r="H76" s="14">
        <f t="shared" si="4"/>
        <v>6</v>
      </c>
      <c r="I76" s="14" t="s">
        <v>104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6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14">
        <v>0</v>
      </c>
      <c r="AE76" s="14">
        <v>0</v>
      </c>
      <c r="AF76" s="14">
        <v>0</v>
      </c>
      <c r="AG76" s="14">
        <v>0</v>
      </c>
      <c r="AH76" s="14">
        <v>0</v>
      </c>
      <c r="AI76" s="14">
        <v>0</v>
      </c>
      <c r="AJ76" s="14">
        <v>0</v>
      </c>
      <c r="AK76" s="14">
        <v>0</v>
      </c>
      <c r="AL76" s="14">
        <v>0</v>
      </c>
      <c r="AM76" s="13">
        <v>0</v>
      </c>
      <c r="AN76" s="13">
        <v>0</v>
      </c>
      <c r="AO76" s="13">
        <v>0</v>
      </c>
      <c r="AP76" s="13">
        <v>0</v>
      </c>
      <c r="AQ76" s="13">
        <v>0</v>
      </c>
      <c r="AR76" s="13">
        <v>0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</row>
    <row r="77" spans="1:59" x14ac:dyDescent="0.2">
      <c r="A77" s="13" t="s">
        <v>9</v>
      </c>
      <c r="B77" s="13">
        <v>1</v>
      </c>
      <c r="C77" s="12" t="s">
        <v>48</v>
      </c>
      <c r="D77" s="13">
        <v>0.84</v>
      </c>
      <c r="E77" s="13">
        <f t="shared" si="3"/>
        <v>0.9</v>
      </c>
      <c r="F77" s="12">
        <v>20</v>
      </c>
      <c r="G77" s="13">
        <v>0</v>
      </c>
      <c r="H77" s="13">
        <f t="shared" si="4"/>
        <v>18</v>
      </c>
      <c r="I77" s="13" t="s">
        <v>114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8</v>
      </c>
      <c r="T77" s="13">
        <v>0</v>
      </c>
      <c r="U77" s="13">
        <v>0</v>
      </c>
      <c r="V77" s="13">
        <v>7</v>
      </c>
      <c r="W77" s="13">
        <v>0</v>
      </c>
      <c r="X77" s="13">
        <v>3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13">
        <v>0</v>
      </c>
      <c r="AF77" s="13">
        <v>0</v>
      </c>
      <c r="AG77" s="13">
        <v>0</v>
      </c>
      <c r="AH77" s="13">
        <v>0</v>
      </c>
      <c r="AI77" s="13">
        <v>0</v>
      </c>
      <c r="AJ77" s="13">
        <v>0</v>
      </c>
      <c r="AK77" s="13">
        <v>0</v>
      </c>
      <c r="AL77" s="13">
        <v>0</v>
      </c>
      <c r="AM77" s="13">
        <v>0</v>
      </c>
      <c r="AN77" s="13">
        <v>0</v>
      </c>
      <c r="AO77" s="13">
        <v>0</v>
      </c>
      <c r="AP77" s="13">
        <v>0</v>
      </c>
      <c r="AQ77" s="13">
        <v>0</v>
      </c>
      <c r="AR77" s="13">
        <v>0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</row>
    <row r="78" spans="1:59" x14ac:dyDescent="0.2">
      <c r="A78" s="13" t="s">
        <v>9</v>
      </c>
      <c r="B78" s="13">
        <v>1</v>
      </c>
      <c r="C78" s="12" t="s">
        <v>48</v>
      </c>
      <c r="D78" s="13">
        <v>0.92</v>
      </c>
      <c r="E78" s="13">
        <f t="shared" si="3"/>
        <v>0.95</v>
      </c>
      <c r="F78" s="12">
        <v>20</v>
      </c>
      <c r="G78" s="13">
        <v>0</v>
      </c>
      <c r="H78" s="13">
        <f t="shared" si="4"/>
        <v>19</v>
      </c>
      <c r="I78" s="13" t="s">
        <v>115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3</v>
      </c>
      <c r="R78" s="13">
        <v>0</v>
      </c>
      <c r="S78" s="13">
        <v>12</v>
      </c>
      <c r="T78" s="13">
        <v>0</v>
      </c>
      <c r="U78" s="13">
        <v>0</v>
      </c>
      <c r="V78" s="13">
        <v>4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0</v>
      </c>
      <c r="AE78" s="13">
        <v>0</v>
      </c>
      <c r="AF78" s="13">
        <v>0</v>
      </c>
      <c r="AG78" s="13">
        <v>0</v>
      </c>
      <c r="AH78" s="13">
        <v>0</v>
      </c>
      <c r="AI78" s="13">
        <v>0</v>
      </c>
      <c r="AJ78" s="13">
        <v>0</v>
      </c>
      <c r="AK78" s="13">
        <v>0</v>
      </c>
      <c r="AL78" s="13">
        <v>0</v>
      </c>
      <c r="AM78" s="13">
        <v>0</v>
      </c>
      <c r="AN78" s="13">
        <v>0</v>
      </c>
      <c r="AO78" s="13">
        <v>0</v>
      </c>
      <c r="AP78" s="13">
        <v>0</v>
      </c>
      <c r="AQ78" s="13">
        <v>0</v>
      </c>
      <c r="AR78" s="13">
        <v>0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</row>
    <row r="79" spans="1:59" x14ac:dyDescent="0.2">
      <c r="A79" s="13" t="s">
        <v>9</v>
      </c>
      <c r="B79" s="13">
        <v>1</v>
      </c>
      <c r="C79" s="12" t="s">
        <v>48</v>
      </c>
      <c r="D79" s="13">
        <v>0.67</v>
      </c>
      <c r="E79" s="13">
        <f t="shared" si="3"/>
        <v>0.35</v>
      </c>
      <c r="F79" s="12">
        <v>20</v>
      </c>
      <c r="G79" s="13">
        <v>0</v>
      </c>
      <c r="H79" s="13">
        <f t="shared" si="4"/>
        <v>7</v>
      </c>
      <c r="I79" s="13" t="s">
        <v>105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7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13">
        <v>0</v>
      </c>
      <c r="AF79" s="13">
        <v>0</v>
      </c>
      <c r="AG79" s="13">
        <v>0</v>
      </c>
      <c r="AH79" s="13">
        <v>0</v>
      </c>
      <c r="AI79" s="13">
        <v>0</v>
      </c>
      <c r="AJ79" s="13">
        <v>0</v>
      </c>
      <c r="AK79" s="13">
        <v>0</v>
      </c>
      <c r="AL79" s="13">
        <v>0</v>
      </c>
      <c r="AM79" s="13">
        <v>0</v>
      </c>
      <c r="AN79" s="13">
        <v>0</v>
      </c>
      <c r="AO79" s="13">
        <v>0</v>
      </c>
      <c r="AP79" s="13">
        <v>0</v>
      </c>
      <c r="AQ79" s="13">
        <v>0</v>
      </c>
      <c r="AR79" s="13">
        <v>0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</row>
    <row r="80" spans="1:59" x14ac:dyDescent="0.2">
      <c r="A80" s="13" t="s">
        <v>9</v>
      </c>
      <c r="B80" s="13">
        <v>1</v>
      </c>
      <c r="C80" s="12" t="s">
        <v>48</v>
      </c>
      <c r="D80" s="13">
        <v>0.74</v>
      </c>
      <c r="E80" s="13">
        <f t="shared" si="3"/>
        <v>0.75</v>
      </c>
      <c r="F80" s="12">
        <v>20</v>
      </c>
      <c r="G80" s="13">
        <v>0</v>
      </c>
      <c r="H80" s="13">
        <f t="shared" si="4"/>
        <v>15</v>
      </c>
      <c r="I80" s="13" t="s">
        <v>119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5</v>
      </c>
      <c r="W80" s="13">
        <v>0</v>
      </c>
      <c r="X80" s="13">
        <v>6</v>
      </c>
      <c r="Y80" s="13">
        <v>0</v>
      </c>
      <c r="Z80" s="13">
        <v>0</v>
      </c>
      <c r="AA80" s="13">
        <v>0</v>
      </c>
      <c r="AB80" s="13">
        <v>0</v>
      </c>
      <c r="AC80" s="13">
        <v>4</v>
      </c>
      <c r="AD80" s="13">
        <v>0</v>
      </c>
      <c r="AE80" s="13">
        <v>0</v>
      </c>
      <c r="AF80" s="13">
        <v>0</v>
      </c>
      <c r="AG80" s="13">
        <v>0</v>
      </c>
      <c r="AH80" s="13">
        <v>0</v>
      </c>
      <c r="AI80" s="13">
        <v>0</v>
      </c>
      <c r="AJ80" s="13">
        <v>0</v>
      </c>
      <c r="AK80" s="13">
        <v>0</v>
      </c>
      <c r="AL80" s="13">
        <v>0</v>
      </c>
      <c r="AM80" s="13">
        <v>0</v>
      </c>
      <c r="AN80" s="13">
        <v>0</v>
      </c>
      <c r="AO80" s="13">
        <v>0</v>
      </c>
      <c r="AP80" s="13">
        <v>0</v>
      </c>
      <c r="AQ80" s="13">
        <v>0</v>
      </c>
      <c r="AR80" s="13">
        <v>0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</row>
    <row r="81" spans="1:59" s="5" customFormat="1" x14ac:dyDescent="0.2">
      <c r="A81" s="13" t="s">
        <v>9</v>
      </c>
      <c r="B81" s="13">
        <v>1</v>
      </c>
      <c r="C81" s="12" t="s">
        <v>48</v>
      </c>
      <c r="D81" s="13">
        <v>0.87</v>
      </c>
      <c r="E81" s="13">
        <f t="shared" si="3"/>
        <v>0.95</v>
      </c>
      <c r="F81" s="12">
        <v>20</v>
      </c>
      <c r="G81" s="13">
        <v>0</v>
      </c>
      <c r="H81" s="13">
        <f t="shared" si="4"/>
        <v>19</v>
      </c>
      <c r="I81" s="13" t="s">
        <v>107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13</v>
      </c>
      <c r="W81" s="13">
        <v>0</v>
      </c>
      <c r="X81" s="13">
        <v>3</v>
      </c>
      <c r="Y81" s="13">
        <v>0</v>
      </c>
      <c r="Z81" s="13">
        <v>2</v>
      </c>
      <c r="AA81" s="13">
        <v>0</v>
      </c>
      <c r="AB81" s="13">
        <v>0</v>
      </c>
      <c r="AC81" s="13">
        <v>0</v>
      </c>
      <c r="AD81" s="13">
        <v>0</v>
      </c>
      <c r="AE81" s="13">
        <v>0</v>
      </c>
      <c r="AF81" s="13">
        <v>0</v>
      </c>
      <c r="AG81" s="13">
        <v>1</v>
      </c>
      <c r="AH81" s="13">
        <v>0</v>
      </c>
      <c r="AI81" s="13">
        <v>0</v>
      </c>
      <c r="AJ81" s="13">
        <v>0</v>
      </c>
      <c r="AK81" s="13">
        <v>0</v>
      </c>
      <c r="AL81" s="13">
        <v>0</v>
      </c>
      <c r="AM81" s="13">
        <v>0</v>
      </c>
      <c r="AN81" s="13">
        <v>0</v>
      </c>
      <c r="AO81" s="13">
        <v>0</v>
      </c>
      <c r="AP81" s="13">
        <v>0</v>
      </c>
      <c r="AQ81" s="13">
        <v>0</v>
      </c>
      <c r="AR81" s="13">
        <v>0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</row>
    <row r="82" spans="1:59" x14ac:dyDescent="0.2">
      <c r="A82" s="13" t="s">
        <v>9</v>
      </c>
      <c r="B82" s="13">
        <v>1</v>
      </c>
      <c r="C82" s="12" t="s">
        <v>48</v>
      </c>
      <c r="D82" s="13">
        <v>0.74</v>
      </c>
      <c r="E82" s="13">
        <f t="shared" si="3"/>
        <v>0.55000000000000004</v>
      </c>
      <c r="F82" s="12">
        <v>20</v>
      </c>
      <c r="G82" s="13">
        <v>0</v>
      </c>
      <c r="H82" s="13">
        <f t="shared" si="4"/>
        <v>11</v>
      </c>
      <c r="I82" s="13" t="s">
        <v>116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9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2</v>
      </c>
      <c r="AD82" s="13">
        <v>0</v>
      </c>
      <c r="AE82" s="13">
        <v>0</v>
      </c>
      <c r="AF82" s="13">
        <v>0</v>
      </c>
      <c r="AG82" s="13">
        <v>0</v>
      </c>
      <c r="AH82" s="13">
        <v>0</v>
      </c>
      <c r="AI82" s="13">
        <v>0</v>
      </c>
      <c r="AJ82" s="13">
        <v>0</v>
      </c>
      <c r="AK82" s="13">
        <v>0</v>
      </c>
      <c r="AL82" s="13">
        <v>0</v>
      </c>
      <c r="AM82" s="13">
        <v>0</v>
      </c>
      <c r="AN82" s="13">
        <v>0</v>
      </c>
      <c r="AO82" s="13">
        <v>0</v>
      </c>
      <c r="AP82" s="13">
        <v>0</v>
      </c>
      <c r="AQ82" s="13">
        <v>0</v>
      </c>
      <c r="AR82" s="13">
        <v>0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</row>
    <row r="83" spans="1:59" x14ac:dyDescent="0.2">
      <c r="A83" s="13" t="s">
        <v>9</v>
      </c>
      <c r="B83" s="13">
        <v>1</v>
      </c>
      <c r="C83" s="12" t="s">
        <v>48</v>
      </c>
      <c r="D83" s="13">
        <v>0.93</v>
      </c>
      <c r="E83" s="13">
        <f t="shared" si="3"/>
        <v>0.9</v>
      </c>
      <c r="F83" s="12">
        <v>20</v>
      </c>
      <c r="G83" s="13">
        <v>2</v>
      </c>
      <c r="H83" s="13">
        <f t="shared" si="4"/>
        <v>16</v>
      </c>
      <c r="I83" s="13" t="s">
        <v>108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6</v>
      </c>
      <c r="W83" s="13">
        <v>0</v>
      </c>
      <c r="X83" s="13">
        <v>6</v>
      </c>
      <c r="Y83" s="13">
        <v>0</v>
      </c>
      <c r="Z83" s="13">
        <v>0</v>
      </c>
      <c r="AA83" s="13">
        <v>0</v>
      </c>
      <c r="AB83" s="13">
        <v>0</v>
      </c>
      <c r="AC83" s="13">
        <v>2</v>
      </c>
      <c r="AD83" s="13">
        <v>0</v>
      </c>
      <c r="AE83" s="13">
        <v>2</v>
      </c>
      <c r="AF83" s="13">
        <v>0</v>
      </c>
      <c r="AG83" s="13">
        <v>0</v>
      </c>
      <c r="AH83" s="13">
        <v>0</v>
      </c>
      <c r="AI83" s="13">
        <v>0</v>
      </c>
      <c r="AJ83" s="13">
        <v>0</v>
      </c>
      <c r="AK83" s="13">
        <v>0</v>
      </c>
      <c r="AL83" s="13">
        <v>0</v>
      </c>
      <c r="AM83" s="13">
        <v>0</v>
      </c>
      <c r="AN83" s="13">
        <v>0</v>
      </c>
      <c r="AO83" s="13">
        <v>0</v>
      </c>
      <c r="AP83" s="13">
        <v>0</v>
      </c>
      <c r="AQ83" s="13">
        <v>0</v>
      </c>
      <c r="AR83" s="13">
        <v>0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</row>
    <row r="84" spans="1:59" x14ac:dyDescent="0.2">
      <c r="A84" s="13" t="s">
        <v>9</v>
      </c>
      <c r="B84" s="13">
        <v>1</v>
      </c>
      <c r="C84" s="12" t="s">
        <v>48</v>
      </c>
      <c r="D84" s="13">
        <v>0.95</v>
      </c>
      <c r="E84" s="13">
        <f t="shared" si="3"/>
        <v>0.95</v>
      </c>
      <c r="F84" s="12">
        <v>20</v>
      </c>
      <c r="G84" s="13">
        <v>0</v>
      </c>
      <c r="H84" s="13">
        <f t="shared" si="4"/>
        <v>19</v>
      </c>
      <c r="I84" s="13" t="s">
        <v>95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1</v>
      </c>
      <c r="T84" s="13">
        <v>0</v>
      </c>
      <c r="U84" s="13">
        <v>0</v>
      </c>
      <c r="V84" s="13">
        <v>12</v>
      </c>
      <c r="W84" s="13">
        <v>0</v>
      </c>
      <c r="X84" s="13">
        <v>2</v>
      </c>
      <c r="Y84" s="13">
        <v>0</v>
      </c>
      <c r="Z84" s="13">
        <v>3</v>
      </c>
      <c r="AA84" s="13">
        <v>0</v>
      </c>
      <c r="AB84" s="13">
        <v>0</v>
      </c>
      <c r="AC84" s="13">
        <v>1</v>
      </c>
      <c r="AD84" s="13">
        <v>0</v>
      </c>
      <c r="AE84" s="13">
        <v>0</v>
      </c>
      <c r="AF84" s="13">
        <v>0</v>
      </c>
      <c r="AG84" s="13">
        <v>0</v>
      </c>
      <c r="AH84" s="13">
        <v>0</v>
      </c>
      <c r="AI84" s="13">
        <v>0</v>
      </c>
      <c r="AJ84" s="13">
        <v>0</v>
      </c>
      <c r="AK84" s="13">
        <v>0</v>
      </c>
      <c r="AL84" s="13">
        <v>0</v>
      </c>
      <c r="AM84" s="13">
        <v>0</v>
      </c>
      <c r="AN84" s="13">
        <v>0</v>
      </c>
      <c r="AO84" s="13">
        <v>0</v>
      </c>
      <c r="AP84" s="13">
        <v>0</v>
      </c>
      <c r="AQ84" s="13">
        <v>0</v>
      </c>
      <c r="AR84" s="13">
        <v>0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</row>
    <row r="85" spans="1:59" x14ac:dyDescent="0.2">
      <c r="A85" s="13" t="s">
        <v>9</v>
      </c>
      <c r="B85" s="13">
        <v>1</v>
      </c>
      <c r="C85" s="12" t="s">
        <v>48</v>
      </c>
      <c r="D85" s="13">
        <v>0.93</v>
      </c>
      <c r="E85" s="13">
        <f t="shared" si="3"/>
        <v>0.9</v>
      </c>
      <c r="F85" s="12">
        <v>20</v>
      </c>
      <c r="G85" s="13">
        <v>0</v>
      </c>
      <c r="H85" s="13">
        <f t="shared" si="4"/>
        <v>18</v>
      </c>
      <c r="I85" s="13" t="s">
        <v>96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11</v>
      </c>
      <c r="W85" s="13">
        <v>0</v>
      </c>
      <c r="X85" s="13">
        <v>3</v>
      </c>
      <c r="Y85" s="13">
        <v>0</v>
      </c>
      <c r="Z85" s="13">
        <v>2</v>
      </c>
      <c r="AA85" s="13">
        <v>0</v>
      </c>
      <c r="AB85" s="13">
        <v>0</v>
      </c>
      <c r="AC85" s="13">
        <v>2</v>
      </c>
      <c r="AD85" s="13">
        <v>0</v>
      </c>
      <c r="AE85" s="13">
        <v>0</v>
      </c>
      <c r="AF85" s="13">
        <v>0</v>
      </c>
      <c r="AG85" s="13">
        <v>0</v>
      </c>
      <c r="AH85" s="13">
        <v>0</v>
      </c>
      <c r="AI85" s="13">
        <v>0</v>
      </c>
      <c r="AJ85" s="13">
        <v>0</v>
      </c>
      <c r="AK85" s="13">
        <v>0</v>
      </c>
      <c r="AL85" s="13">
        <v>0</v>
      </c>
      <c r="AM85" s="13">
        <v>0</v>
      </c>
      <c r="AN85" s="13">
        <v>0</v>
      </c>
      <c r="AO85" s="13">
        <v>0</v>
      </c>
      <c r="AP85" s="13">
        <v>0</v>
      </c>
      <c r="AQ85" s="13">
        <v>0</v>
      </c>
      <c r="AR85" s="13">
        <v>0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</row>
    <row r="86" spans="1:59" x14ac:dyDescent="0.2">
      <c r="A86" s="13" t="s">
        <v>9</v>
      </c>
      <c r="B86" s="13">
        <v>1</v>
      </c>
      <c r="C86" s="12" t="s">
        <v>48</v>
      </c>
      <c r="D86" s="13">
        <v>0.93</v>
      </c>
      <c r="E86" s="13">
        <f t="shared" si="3"/>
        <v>0.95</v>
      </c>
      <c r="F86" s="12">
        <v>20</v>
      </c>
      <c r="G86" s="13">
        <v>0</v>
      </c>
      <c r="H86" s="13">
        <f t="shared" si="4"/>
        <v>19</v>
      </c>
      <c r="I86" s="13" t="s">
        <v>97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9</v>
      </c>
      <c r="W86" s="13">
        <v>0</v>
      </c>
      <c r="X86" s="13">
        <v>10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0</v>
      </c>
      <c r="AT86" s="13">
        <v>0</v>
      </c>
      <c r="AU86" s="13">
        <v>0</v>
      </c>
      <c r="AV86" s="13">
        <v>0</v>
      </c>
      <c r="AW86" s="13">
        <v>0</v>
      </c>
      <c r="AX86" s="13">
        <v>0</v>
      </c>
      <c r="AY86" s="13">
        <v>0</v>
      </c>
      <c r="AZ86" s="13">
        <v>0</v>
      </c>
      <c r="BA86" s="13">
        <v>0</v>
      </c>
      <c r="BB86" s="13">
        <v>0</v>
      </c>
      <c r="BC86" s="13">
        <v>0</v>
      </c>
      <c r="BD86" s="13">
        <v>0</v>
      </c>
      <c r="BE86" s="13">
        <v>0</v>
      </c>
      <c r="BF86" s="13">
        <v>0</v>
      </c>
      <c r="BG86" s="13">
        <v>0</v>
      </c>
    </row>
    <row r="87" spans="1:59" x14ac:dyDescent="0.2">
      <c r="A87" s="13" t="s">
        <v>9</v>
      </c>
      <c r="B87" s="13">
        <v>1</v>
      </c>
      <c r="C87" s="12" t="s">
        <v>48</v>
      </c>
      <c r="D87" s="13">
        <v>0.93</v>
      </c>
      <c r="E87" s="13">
        <f t="shared" si="3"/>
        <v>0.9</v>
      </c>
      <c r="F87" s="12">
        <v>20</v>
      </c>
      <c r="G87" s="13">
        <v>0</v>
      </c>
      <c r="H87" s="13">
        <f t="shared" si="4"/>
        <v>18</v>
      </c>
      <c r="I87" s="13" t="s">
        <v>99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5</v>
      </c>
      <c r="W87" s="13">
        <v>0</v>
      </c>
      <c r="X87" s="13">
        <v>7</v>
      </c>
      <c r="Y87" s="13">
        <v>0</v>
      </c>
      <c r="Z87" s="13">
        <v>2</v>
      </c>
      <c r="AA87" s="13">
        <v>0</v>
      </c>
      <c r="AB87" s="13">
        <v>0</v>
      </c>
      <c r="AC87" s="13">
        <v>4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</v>
      </c>
      <c r="AT87" s="13">
        <v>0</v>
      </c>
      <c r="AU87" s="13">
        <v>0</v>
      </c>
      <c r="AV87" s="13">
        <v>0</v>
      </c>
      <c r="AW87" s="13">
        <v>0</v>
      </c>
      <c r="AX87" s="13">
        <v>0</v>
      </c>
      <c r="AY87" s="13">
        <v>0</v>
      </c>
      <c r="AZ87" s="13">
        <v>0</v>
      </c>
      <c r="BA87" s="13">
        <v>0</v>
      </c>
      <c r="BB87" s="13">
        <v>0</v>
      </c>
      <c r="BC87" s="13">
        <v>0</v>
      </c>
      <c r="BD87" s="13">
        <v>0</v>
      </c>
      <c r="BE87" s="13">
        <v>0</v>
      </c>
      <c r="BF87" s="13">
        <v>0</v>
      </c>
      <c r="BG87" s="13">
        <v>0</v>
      </c>
    </row>
    <row r="88" spans="1:59" x14ac:dyDescent="0.2">
      <c r="A88" s="13" t="s">
        <v>9</v>
      </c>
      <c r="B88" s="13">
        <v>1</v>
      </c>
      <c r="C88" s="12" t="s">
        <v>48</v>
      </c>
      <c r="D88" s="13">
        <v>0.83</v>
      </c>
      <c r="E88" s="13">
        <f t="shared" si="3"/>
        <v>0.75</v>
      </c>
      <c r="F88" s="12">
        <v>20</v>
      </c>
      <c r="G88" s="13">
        <v>0</v>
      </c>
      <c r="H88" s="13">
        <f t="shared" si="4"/>
        <v>15</v>
      </c>
      <c r="I88" s="13" t="s">
        <v>110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5</v>
      </c>
      <c r="R88" s="13">
        <v>0</v>
      </c>
      <c r="S88" s="13">
        <v>7</v>
      </c>
      <c r="T88" s="13">
        <v>0</v>
      </c>
      <c r="U88" s="13">
        <v>0</v>
      </c>
      <c r="V88" s="13">
        <v>3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0</v>
      </c>
      <c r="AT88" s="13">
        <v>0</v>
      </c>
      <c r="AU88" s="13">
        <v>0</v>
      </c>
      <c r="AV88" s="13">
        <v>0</v>
      </c>
      <c r="AW88" s="13">
        <v>0</v>
      </c>
      <c r="AX88" s="13">
        <v>0</v>
      </c>
      <c r="AY88" s="13">
        <v>0</v>
      </c>
      <c r="AZ88" s="13">
        <v>0</v>
      </c>
      <c r="BA88" s="13">
        <v>0</v>
      </c>
      <c r="BB88" s="13">
        <v>0</v>
      </c>
      <c r="BC88" s="13">
        <v>0</v>
      </c>
      <c r="BD88" s="13">
        <v>0</v>
      </c>
      <c r="BE88" s="13">
        <v>0</v>
      </c>
      <c r="BF88" s="13">
        <v>0</v>
      </c>
      <c r="BG88" s="13">
        <v>0</v>
      </c>
    </row>
    <row r="89" spans="1:59" x14ac:dyDescent="0.2">
      <c r="A89" s="13" t="s">
        <v>9</v>
      </c>
      <c r="B89" s="13">
        <v>1</v>
      </c>
      <c r="C89" s="12" t="s">
        <v>48</v>
      </c>
      <c r="D89" s="13">
        <v>0.52</v>
      </c>
      <c r="E89" s="13">
        <f t="shared" si="3"/>
        <v>0.5</v>
      </c>
      <c r="F89" s="12">
        <v>20</v>
      </c>
      <c r="G89" s="13">
        <v>0</v>
      </c>
      <c r="H89" s="13">
        <f t="shared" si="4"/>
        <v>10</v>
      </c>
      <c r="I89" s="13" t="s">
        <v>111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4</v>
      </c>
      <c r="T89" s="13">
        <v>0</v>
      </c>
      <c r="U89" s="13">
        <v>0</v>
      </c>
      <c r="V89" s="13">
        <v>4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1</v>
      </c>
      <c r="AD89" s="13">
        <v>0</v>
      </c>
      <c r="AE89" s="13">
        <v>1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0</v>
      </c>
      <c r="AT89" s="13">
        <v>0</v>
      </c>
      <c r="AU89" s="13">
        <v>0</v>
      </c>
      <c r="AV89" s="13">
        <v>0</v>
      </c>
      <c r="AW89" s="13">
        <v>0</v>
      </c>
      <c r="AX89" s="13">
        <v>0</v>
      </c>
      <c r="AY89" s="13">
        <v>0</v>
      </c>
      <c r="AZ89" s="13">
        <v>0</v>
      </c>
      <c r="BA89" s="13">
        <v>0</v>
      </c>
      <c r="BB89" s="13">
        <v>0</v>
      </c>
      <c r="BC89" s="13">
        <v>0</v>
      </c>
      <c r="BD89" s="13">
        <v>0</v>
      </c>
      <c r="BE89" s="13">
        <v>0</v>
      </c>
      <c r="BF89" s="13">
        <v>0</v>
      </c>
      <c r="BG89" s="13">
        <v>0</v>
      </c>
    </row>
    <row r="90" spans="1:59" x14ac:dyDescent="0.2">
      <c r="A90" s="13" t="s">
        <v>9</v>
      </c>
      <c r="B90" s="13">
        <v>1</v>
      </c>
      <c r="C90" s="12" t="s">
        <v>48</v>
      </c>
      <c r="D90" s="13">
        <v>0.8</v>
      </c>
      <c r="E90" s="13">
        <f t="shared" si="3"/>
        <v>0.85</v>
      </c>
      <c r="F90" s="12">
        <v>20</v>
      </c>
      <c r="G90" s="13">
        <v>0</v>
      </c>
      <c r="H90" s="13">
        <f t="shared" si="4"/>
        <v>17</v>
      </c>
      <c r="I90" s="13" t="s">
        <v>101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3</v>
      </c>
      <c r="T90" s="13">
        <v>0</v>
      </c>
      <c r="U90" s="13">
        <v>0</v>
      </c>
      <c r="V90" s="13">
        <v>10</v>
      </c>
      <c r="W90" s="13">
        <v>0</v>
      </c>
      <c r="X90" s="13">
        <v>2</v>
      </c>
      <c r="Y90" s="13">
        <v>0</v>
      </c>
      <c r="Z90" s="13">
        <v>1</v>
      </c>
      <c r="AA90" s="13">
        <v>0</v>
      </c>
      <c r="AB90" s="13">
        <v>0</v>
      </c>
      <c r="AC90" s="13">
        <v>1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</v>
      </c>
      <c r="AT90" s="13">
        <v>0</v>
      </c>
      <c r="AU90" s="13">
        <v>0</v>
      </c>
      <c r="AV90" s="13">
        <v>0</v>
      </c>
      <c r="AW90" s="13">
        <v>0</v>
      </c>
      <c r="AX90" s="13">
        <v>0</v>
      </c>
      <c r="AY90" s="13">
        <v>0</v>
      </c>
      <c r="AZ90" s="13">
        <v>0</v>
      </c>
      <c r="BA90" s="13">
        <v>0</v>
      </c>
      <c r="BB90" s="13">
        <v>0</v>
      </c>
      <c r="BC90" s="13">
        <v>0</v>
      </c>
      <c r="BD90" s="13">
        <v>0</v>
      </c>
      <c r="BE90" s="13">
        <v>0</v>
      </c>
      <c r="BF90" s="13">
        <v>0</v>
      </c>
      <c r="BG90" s="13">
        <v>0</v>
      </c>
    </row>
    <row r="91" spans="1:59" x14ac:dyDescent="0.2">
      <c r="A91" s="13" t="s">
        <v>9</v>
      </c>
      <c r="B91" s="13">
        <v>1</v>
      </c>
      <c r="C91" s="12" t="s">
        <v>48</v>
      </c>
      <c r="D91" s="13">
        <v>0.91</v>
      </c>
      <c r="E91" s="13">
        <f t="shared" si="3"/>
        <v>0.3</v>
      </c>
      <c r="F91" s="12">
        <v>20</v>
      </c>
      <c r="G91" s="13">
        <v>0</v>
      </c>
      <c r="H91" s="13">
        <f t="shared" si="4"/>
        <v>6</v>
      </c>
      <c r="I91" s="13" t="s">
        <v>104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6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0</v>
      </c>
      <c r="AT91" s="13">
        <v>0</v>
      </c>
      <c r="AU91" s="13">
        <v>0</v>
      </c>
      <c r="AV91" s="13">
        <v>0</v>
      </c>
      <c r="AW91" s="13">
        <v>0</v>
      </c>
      <c r="AX91" s="13">
        <v>0</v>
      </c>
      <c r="AY91" s="13">
        <v>0</v>
      </c>
      <c r="AZ91" s="13">
        <v>0</v>
      </c>
      <c r="BA91" s="13">
        <v>0</v>
      </c>
      <c r="BB91" s="13">
        <v>0</v>
      </c>
      <c r="BC91" s="13">
        <v>0</v>
      </c>
      <c r="BD91" s="13">
        <v>0</v>
      </c>
      <c r="BE91" s="13">
        <v>0</v>
      </c>
      <c r="BF91" s="13">
        <v>0</v>
      </c>
      <c r="BG91" s="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Littoralis_S1</vt:lpstr>
      <vt:lpstr>Torulosa_lowfire_S1</vt:lpstr>
      <vt:lpstr>Torulosa_highfire_S1</vt:lpstr>
    </vt:vector>
  </TitlesOfParts>
  <Company>The University of Queensland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Felicity Charles</dc:creator>
  <cp:lastModifiedBy>Felicity Charles</cp:lastModifiedBy>
  <dcterms:created xsi:type="dcterms:W3CDTF">2024-07-03T06:24:44Z</dcterms:created>
  <dcterms:modified xsi:type="dcterms:W3CDTF">2024-10-03T08:01:36Z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2024-10-03T07:51:19Z</vt:lpwstr>
  </property>
  <property fmtid="{D5CDD505-2E9C-101B-9397-08002B2CF9AE}" pid="4" name="MSIP_Label_0f488380-630a-4f55-a077-a19445e3f360_Method">
    <vt:lpwstr>Privileged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84b9f2ab-d7b7-42d9-8971-590cb5e0338c</vt:lpwstr>
  </property>
  <property fmtid="{D5CDD505-2E9C-101B-9397-08002B2CF9AE}" pid="8" name="MSIP_Label_0f488380-630a-4f55-a077-a19445e3f360_ContentBits">
    <vt:lpwstr>0</vt:lpwstr>
  </property>
</Properties>
</file>