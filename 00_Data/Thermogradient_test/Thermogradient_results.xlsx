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fchar1_uq_edu_au/Documents/Desktop/GitHub/Allocasuarina_germfire/00_Data/Thermogradient_test/"/>
    </mc:Choice>
  </mc:AlternateContent>
  <xr:revisionPtr revIDLastSave="0" documentId="8_{28C7348B-8C26-954B-970A-8E913205FF00}" xr6:coauthVersionLast="47" xr6:coauthVersionMax="47" xr10:uidLastSave="{00000000-0000-0000-0000-000000000000}"/>
  <bookViews>
    <workbookView xWindow="5460" yWindow="980" windowWidth="27640" windowHeight="15860" xr2:uid="{4AE20DDF-7630-E34A-809E-0A217A81D217}"/>
  </bookViews>
  <sheets>
    <sheet name="Sheet1" sheetId="1" r:id="rId1"/>
    <sheet name="R_forma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1" i="1" l="1"/>
  <c r="W61" i="1" s="1"/>
  <c r="V60" i="1"/>
  <c r="W60" i="1" s="1"/>
  <c r="V59" i="1"/>
  <c r="U59" i="1"/>
  <c r="W59" i="1" s="1"/>
  <c r="V58" i="1"/>
  <c r="U58" i="1"/>
  <c r="W58" i="1" s="1"/>
  <c r="V57" i="1"/>
  <c r="U57" i="1"/>
  <c r="W57" i="1" s="1"/>
  <c r="V56" i="1"/>
  <c r="U56" i="1"/>
  <c r="W56" i="1" s="1"/>
  <c r="V55" i="1"/>
  <c r="U55" i="1"/>
  <c r="W55" i="1" s="1"/>
  <c r="V54" i="1"/>
  <c r="U54" i="1"/>
  <c r="W54" i="1" s="1"/>
  <c r="V53" i="1"/>
  <c r="U53" i="1"/>
  <c r="W53" i="1" s="1"/>
  <c r="V52" i="1"/>
  <c r="U52" i="1"/>
  <c r="W52" i="1" s="1"/>
  <c r="V51" i="1"/>
  <c r="U51" i="1"/>
  <c r="W51" i="1" s="1"/>
  <c r="V50" i="1"/>
  <c r="U50" i="1"/>
  <c r="W50" i="1" s="1"/>
  <c r="V49" i="1"/>
  <c r="U49" i="1"/>
  <c r="W49" i="1" s="1"/>
  <c r="V48" i="1"/>
  <c r="U48" i="1"/>
  <c r="W48" i="1" s="1"/>
  <c r="V47" i="1"/>
  <c r="U47" i="1"/>
  <c r="W47" i="1" s="1"/>
  <c r="V46" i="1"/>
  <c r="U46" i="1"/>
  <c r="W46" i="1" s="1"/>
  <c r="V45" i="1"/>
  <c r="U45" i="1"/>
  <c r="W45" i="1" s="1"/>
  <c r="V44" i="1"/>
  <c r="U44" i="1"/>
  <c r="W44" i="1" s="1"/>
  <c r="V43" i="1"/>
  <c r="U43" i="1"/>
  <c r="W43" i="1" s="1"/>
  <c r="V42" i="1"/>
  <c r="U42" i="1"/>
  <c r="W42" i="1" s="1"/>
  <c r="V41" i="1"/>
  <c r="U41" i="1"/>
  <c r="W41" i="1" s="1"/>
  <c r="V40" i="1"/>
  <c r="U40" i="1"/>
  <c r="W40" i="1" s="1"/>
  <c r="V39" i="1"/>
  <c r="U39" i="1"/>
  <c r="W39" i="1" s="1"/>
  <c r="V38" i="1"/>
  <c r="U38" i="1"/>
  <c r="W38" i="1" s="1"/>
  <c r="V37" i="1"/>
  <c r="U37" i="1"/>
  <c r="W37" i="1" s="1"/>
  <c r="V36" i="1"/>
  <c r="U36" i="1"/>
  <c r="W36" i="1" s="1"/>
  <c r="V35" i="1"/>
  <c r="U35" i="1"/>
  <c r="W35" i="1" s="1"/>
  <c r="V34" i="1"/>
  <c r="U34" i="1"/>
  <c r="W34" i="1" s="1"/>
  <c r="V33" i="1"/>
  <c r="U33" i="1"/>
  <c r="W33" i="1" s="1"/>
  <c r="V32" i="1"/>
  <c r="U32" i="1"/>
  <c r="W32" i="1" s="1"/>
  <c r="V31" i="1"/>
  <c r="U31" i="1"/>
  <c r="W31" i="1" s="1"/>
  <c r="V30" i="1"/>
  <c r="U30" i="1"/>
  <c r="W30" i="1" s="1"/>
  <c r="V29" i="1"/>
  <c r="U29" i="1"/>
  <c r="W29" i="1" s="1"/>
  <c r="V28" i="1"/>
  <c r="U28" i="1"/>
  <c r="W28" i="1" s="1"/>
  <c r="V27" i="1"/>
  <c r="U27" i="1"/>
  <c r="W27" i="1" s="1"/>
  <c r="V26" i="1"/>
  <c r="U26" i="1"/>
  <c r="W26" i="1" s="1"/>
  <c r="V25" i="1"/>
  <c r="U25" i="1"/>
  <c r="W25" i="1" s="1"/>
  <c r="V24" i="1"/>
  <c r="U24" i="1"/>
  <c r="W24" i="1" s="1"/>
  <c r="W23" i="1"/>
  <c r="V23" i="1"/>
  <c r="U23" i="1"/>
  <c r="V22" i="1"/>
  <c r="U22" i="1"/>
  <c r="W22" i="1" s="1"/>
  <c r="V21" i="1"/>
  <c r="U21" i="1"/>
  <c r="W21" i="1" s="1"/>
  <c r="V20" i="1"/>
  <c r="U20" i="1"/>
  <c r="W20" i="1" s="1"/>
  <c r="W19" i="1"/>
  <c r="V19" i="1"/>
  <c r="U19" i="1"/>
  <c r="V18" i="1"/>
  <c r="U18" i="1"/>
  <c r="W18" i="1" s="1"/>
  <c r="V17" i="1"/>
  <c r="U17" i="1"/>
  <c r="W17" i="1" s="1"/>
  <c r="V16" i="1"/>
  <c r="U16" i="1"/>
  <c r="W16" i="1" s="1"/>
  <c r="W15" i="1"/>
  <c r="V15" i="1"/>
  <c r="U15" i="1"/>
  <c r="V14" i="1"/>
  <c r="U14" i="1"/>
  <c r="W14" i="1" s="1"/>
  <c r="V13" i="1"/>
  <c r="U13" i="1"/>
  <c r="W13" i="1" s="1"/>
  <c r="V12" i="1"/>
  <c r="U12" i="1"/>
  <c r="W12" i="1" s="1"/>
  <c r="W11" i="1"/>
  <c r="V11" i="1"/>
  <c r="U11" i="1"/>
  <c r="V10" i="1"/>
  <c r="U10" i="1"/>
  <c r="W10" i="1" s="1"/>
  <c r="V9" i="1"/>
  <c r="U9" i="1"/>
  <c r="W9" i="1" s="1"/>
  <c r="V8" i="1"/>
  <c r="U8" i="1"/>
  <c r="W8" i="1" s="1"/>
  <c r="W7" i="1"/>
  <c r="V7" i="1"/>
  <c r="U7" i="1"/>
  <c r="V6" i="1"/>
  <c r="U6" i="1"/>
  <c r="W6" i="1" s="1"/>
  <c r="V5" i="1"/>
  <c r="U5" i="1"/>
  <c r="W5" i="1" s="1"/>
  <c r="V4" i="1"/>
  <c r="U4" i="1"/>
  <c r="W4" i="1" s="1"/>
  <c r="W3" i="1"/>
  <c r="V3" i="1"/>
  <c r="U3" i="1"/>
  <c r="V2" i="1"/>
  <c r="U2" i="1"/>
  <c r="W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9B3763-D7E8-054F-A7E9-22D8EE35F54A}" keepAlive="1" name="Query - Seeds_results" description="Connection to the 'Seeds_results' query in the workbook." type="5" refreshedVersion="8" background="1" saveData="1">
    <dbPr connection="Provider=Microsoft.Mashup.OleDb.1;Data Source=$Workbook$;Location=Seeds_results;Extended Properties=&quot;&quot;" command="SELECT * FROM [Seeds_results]"/>
  </connection>
</connections>
</file>

<file path=xl/sharedStrings.xml><?xml version="1.0" encoding="utf-8"?>
<sst xmlns="http://schemas.openxmlformats.org/spreadsheetml/2006/main" count="768" uniqueCount="68">
  <si>
    <t>Species</t>
  </si>
  <si>
    <t>Seed_lot</t>
  </si>
  <si>
    <t>Chamber</t>
  </si>
  <si>
    <t>Start_seed</t>
  </si>
  <si>
    <t>Seed_discar</t>
  </si>
  <si>
    <t>Tot_seed</t>
  </si>
  <si>
    <t>Germinated</t>
  </si>
  <si>
    <t>Ungerminated</t>
  </si>
  <si>
    <t>Viable</t>
  </si>
  <si>
    <t>Nonviable</t>
  </si>
  <si>
    <t>torulosa</t>
  </si>
  <si>
    <t>T1</t>
  </si>
  <si>
    <t>Notes</t>
  </si>
  <si>
    <t>Unable to take measurements on day 16 and 19 due to easter closure</t>
  </si>
  <si>
    <t>Day 12 replated due to mould</t>
  </si>
  <si>
    <t>Day 12 seeds disposed due to mould</t>
  </si>
  <si>
    <t>Day 9 1 discarded</t>
  </si>
  <si>
    <t>Day 5, replated samples with 1 seed discarded due to mold growth</t>
  </si>
  <si>
    <t>Day 5, torulosa begun germinating. Testing 1 replated discarding 2 seeds.  Day 9 1 seed removed</t>
  </si>
  <si>
    <t>Day 5, germination begun</t>
  </si>
  <si>
    <t>Day 5 1.5mL water added, Day 7 replated and 1 seed removed due to mould</t>
  </si>
  <si>
    <t>Day 5 1.5mL water added, Day 7 1.5mL water added</t>
  </si>
  <si>
    <t>T2</t>
  </si>
  <si>
    <t>Day 5, no germination, filter papers had dried out despite parafilm, added 2.5mL water, Filter papers dried out over the week break</t>
  </si>
  <si>
    <t>Day 11 replated due to mould</t>
  </si>
  <si>
    <t>Day 5, germination begun. Testing 2 replated discarding 1 seed due to mould growth</t>
  </si>
  <si>
    <t>Day 5 germination begun, 1.5mL water added</t>
  </si>
  <si>
    <t>Day 5, germination begun, 1.5mL water added</t>
  </si>
  <si>
    <t>Day 5, no germination, filter papers had dried out despite parafilm, added 2.5mL water. Day 7 replated</t>
  </si>
  <si>
    <t>WPS73</t>
  </si>
  <si>
    <t>Filter papers dried out over the week break</t>
  </si>
  <si>
    <t>Day 5, germination begun.</t>
  </si>
  <si>
    <t>Day 5, no germination, filter papers had dried out despite parafilm, added 2.5mL water. Day 7 1.5mL water added</t>
  </si>
  <si>
    <t>littoralis</t>
  </si>
  <si>
    <t>WPS89</t>
  </si>
  <si>
    <t>WPS107</t>
  </si>
  <si>
    <t>Day 7 1.5mL water added</t>
  </si>
  <si>
    <t>WPS154</t>
  </si>
  <si>
    <t>Day 5 germination begun for most plates</t>
  </si>
  <si>
    <t>Temp</t>
  </si>
  <si>
    <t>28</t>
  </si>
  <si>
    <t>Time_to_germ</t>
  </si>
  <si>
    <t>Time_to_finish</t>
  </si>
  <si>
    <t>1</t>
  </si>
  <si>
    <t>6</t>
  </si>
  <si>
    <t>NA</t>
  </si>
  <si>
    <t>20</t>
  </si>
  <si>
    <t>0</t>
  </si>
  <si>
    <t>2</t>
  </si>
  <si>
    <t>10</t>
  </si>
  <si>
    <t>11</t>
  </si>
  <si>
    <t>9</t>
  </si>
  <si>
    <t>26</t>
  </si>
  <si>
    <t>3</t>
  </si>
  <si>
    <t>14</t>
  </si>
  <si>
    <t>7</t>
  </si>
  <si>
    <t>13</t>
  </si>
  <si>
    <t>12</t>
  </si>
  <si>
    <t>4</t>
  </si>
  <si>
    <t>17</t>
  </si>
  <si>
    <t>19</t>
  </si>
  <si>
    <t>5</t>
  </si>
  <si>
    <t>23</t>
  </si>
  <si>
    <t>8</t>
  </si>
  <si>
    <t>29</t>
  </si>
  <si>
    <t>32</t>
  </si>
  <si>
    <t>36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</si>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</sst>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E163-BB37-8D46-A52E-730045CA09B9}">
  <dimension ref="A1:Y61"/>
  <sheetViews>
    <sheetView tabSelected="1" workbookViewId="0">
      <selection sqref="A1:XFD1048576"/>
    </sheetView>
  </sheetViews>
  <sheetFormatPr baseColWidth="10" defaultColWidth="8.83203125" defaultRowHeight="16" x14ac:dyDescent="0.2"/>
  <cols>
    <col min="19" max="19" width="9.83203125" bestFit="1" customWidth="1"/>
    <col min="20" max="20" width="10.6640625" bestFit="1" customWidth="1"/>
    <col min="21" max="21" width="8.5" bestFit="1" customWidth="1"/>
    <col min="22" max="22" width="10.83203125" bestFit="1" customWidth="1"/>
    <col min="23" max="24" width="12.83203125" bestFit="1" customWidth="1"/>
    <col min="25" max="25" width="9.1640625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>
        <v>2</v>
      </c>
      <c r="E1" s="1">
        <v>5</v>
      </c>
      <c r="F1" s="1">
        <v>7</v>
      </c>
      <c r="G1" s="1">
        <v>9</v>
      </c>
      <c r="H1" s="1">
        <v>12</v>
      </c>
      <c r="I1" s="1">
        <v>14</v>
      </c>
      <c r="J1" s="1">
        <v>20</v>
      </c>
      <c r="K1" s="1">
        <v>21</v>
      </c>
      <c r="L1" s="1">
        <v>23</v>
      </c>
      <c r="M1" s="1">
        <v>26</v>
      </c>
      <c r="N1" s="1">
        <v>28</v>
      </c>
      <c r="Q1" s="1"/>
      <c r="R1" s="1"/>
      <c r="S1" s="1" t="s">
        <v>3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</row>
    <row r="2" spans="1:25" x14ac:dyDescent="0.2">
      <c r="A2" s="1" t="s">
        <v>10</v>
      </c>
      <c r="B2" s="1" t="s">
        <v>11</v>
      </c>
      <c r="C2" s="1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1" t="s">
        <v>12</v>
      </c>
      <c r="P2" s="1" t="s">
        <v>13</v>
      </c>
      <c r="S2">
        <v>20</v>
      </c>
      <c r="T2">
        <v>0</v>
      </c>
      <c r="U2">
        <f t="shared" ref="U2:U59" si="0">S2-T2</f>
        <v>20</v>
      </c>
      <c r="V2">
        <f t="shared" ref="V2:V33" si="1">SUM(D2:N2)</f>
        <v>0</v>
      </c>
      <c r="W2">
        <f t="shared" ref="W2:W61" si="2">U2-V2</f>
        <v>20</v>
      </c>
      <c r="X2">
        <v>1</v>
      </c>
      <c r="Y2">
        <v>19</v>
      </c>
    </row>
    <row r="3" spans="1:25" x14ac:dyDescent="0.2">
      <c r="A3" s="1" t="s">
        <v>10</v>
      </c>
      <c r="B3" s="1" t="s">
        <v>11</v>
      </c>
      <c r="C3" s="1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2</v>
      </c>
      <c r="L3">
        <v>2</v>
      </c>
      <c r="M3">
        <v>1</v>
      </c>
      <c r="N3">
        <v>0</v>
      </c>
      <c r="S3">
        <v>20</v>
      </c>
      <c r="T3">
        <v>11</v>
      </c>
      <c r="U3">
        <f t="shared" si="0"/>
        <v>9</v>
      </c>
      <c r="V3">
        <f t="shared" si="1"/>
        <v>7</v>
      </c>
      <c r="W3">
        <f t="shared" si="2"/>
        <v>2</v>
      </c>
      <c r="X3">
        <v>1</v>
      </c>
      <c r="Y3">
        <v>1</v>
      </c>
    </row>
    <row r="4" spans="1:25" x14ac:dyDescent="0.2">
      <c r="A4" s="1" t="s">
        <v>10</v>
      </c>
      <c r="B4" s="1" t="s">
        <v>11</v>
      </c>
      <c r="C4" s="1">
        <v>3</v>
      </c>
      <c r="D4">
        <v>0</v>
      </c>
      <c r="E4">
        <v>0</v>
      </c>
      <c r="F4">
        <v>0</v>
      </c>
      <c r="G4">
        <v>0</v>
      </c>
      <c r="H4">
        <v>4</v>
      </c>
      <c r="I4">
        <v>8</v>
      </c>
      <c r="J4">
        <v>0</v>
      </c>
      <c r="K4">
        <v>0</v>
      </c>
      <c r="L4">
        <v>0</v>
      </c>
      <c r="M4">
        <v>0</v>
      </c>
      <c r="N4">
        <v>0</v>
      </c>
      <c r="O4" t="s">
        <v>14</v>
      </c>
      <c r="S4">
        <v>20</v>
      </c>
      <c r="T4">
        <v>7</v>
      </c>
      <c r="U4">
        <f t="shared" si="0"/>
        <v>13</v>
      </c>
      <c r="V4">
        <f t="shared" si="1"/>
        <v>12</v>
      </c>
      <c r="W4">
        <f t="shared" si="2"/>
        <v>1</v>
      </c>
      <c r="X4">
        <v>0</v>
      </c>
      <c r="Y4">
        <v>1</v>
      </c>
    </row>
    <row r="5" spans="1:25" x14ac:dyDescent="0.2">
      <c r="A5" s="1" t="s">
        <v>10</v>
      </c>
      <c r="B5" s="1" t="s">
        <v>11</v>
      </c>
      <c r="C5" s="1">
        <v>4</v>
      </c>
      <c r="D5">
        <v>0</v>
      </c>
      <c r="E5">
        <v>0</v>
      </c>
      <c r="F5">
        <v>0</v>
      </c>
      <c r="G5">
        <v>11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15</v>
      </c>
      <c r="S5">
        <v>20</v>
      </c>
      <c r="T5">
        <v>1</v>
      </c>
      <c r="U5">
        <f t="shared" si="0"/>
        <v>19</v>
      </c>
      <c r="V5">
        <f t="shared" si="1"/>
        <v>14</v>
      </c>
      <c r="W5">
        <f t="shared" si="2"/>
        <v>5</v>
      </c>
      <c r="X5">
        <v>0</v>
      </c>
      <c r="Y5">
        <v>5</v>
      </c>
    </row>
    <row r="6" spans="1:25" x14ac:dyDescent="0.2">
      <c r="A6" s="1" t="s">
        <v>10</v>
      </c>
      <c r="B6" s="1" t="s">
        <v>11</v>
      </c>
      <c r="C6" s="1">
        <v>5</v>
      </c>
      <c r="D6">
        <v>0</v>
      </c>
      <c r="E6">
        <v>0</v>
      </c>
      <c r="F6">
        <v>16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16</v>
      </c>
      <c r="S6">
        <v>20</v>
      </c>
      <c r="T6">
        <v>1</v>
      </c>
      <c r="U6">
        <f t="shared" si="0"/>
        <v>19</v>
      </c>
      <c r="V6">
        <f t="shared" si="1"/>
        <v>18</v>
      </c>
      <c r="W6">
        <f t="shared" si="2"/>
        <v>1</v>
      </c>
      <c r="X6">
        <v>0</v>
      </c>
      <c r="Y6">
        <v>1</v>
      </c>
    </row>
    <row r="7" spans="1:25" x14ac:dyDescent="0.2">
      <c r="A7" s="1" t="s">
        <v>10</v>
      </c>
      <c r="B7" s="1" t="s">
        <v>11</v>
      </c>
      <c r="C7" s="1">
        <v>6</v>
      </c>
      <c r="D7">
        <v>0</v>
      </c>
      <c r="E7">
        <v>10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17</v>
      </c>
      <c r="S7">
        <v>20</v>
      </c>
      <c r="T7">
        <v>3</v>
      </c>
      <c r="U7">
        <f t="shared" si="0"/>
        <v>17</v>
      </c>
      <c r="V7">
        <f t="shared" si="1"/>
        <v>13</v>
      </c>
      <c r="W7">
        <f t="shared" si="2"/>
        <v>4</v>
      </c>
      <c r="X7">
        <v>0</v>
      </c>
      <c r="Y7">
        <v>4</v>
      </c>
    </row>
    <row r="8" spans="1:25" x14ac:dyDescent="0.2">
      <c r="A8" s="1" t="s">
        <v>10</v>
      </c>
      <c r="B8" s="1" t="s">
        <v>11</v>
      </c>
      <c r="C8" s="1">
        <v>7</v>
      </c>
      <c r="D8">
        <v>0</v>
      </c>
      <c r="E8">
        <v>17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18</v>
      </c>
      <c r="S8">
        <v>20</v>
      </c>
      <c r="T8">
        <v>0</v>
      </c>
      <c r="U8">
        <f t="shared" si="0"/>
        <v>20</v>
      </c>
      <c r="V8">
        <f t="shared" si="1"/>
        <v>18</v>
      </c>
      <c r="W8">
        <f t="shared" si="2"/>
        <v>2</v>
      </c>
      <c r="X8">
        <v>0</v>
      </c>
      <c r="Y8">
        <v>2</v>
      </c>
    </row>
    <row r="9" spans="1:25" x14ac:dyDescent="0.2">
      <c r="A9" s="1" t="s">
        <v>10</v>
      </c>
      <c r="B9" s="1" t="s">
        <v>11</v>
      </c>
      <c r="C9" s="1">
        <v>8</v>
      </c>
      <c r="D9">
        <v>0</v>
      </c>
      <c r="E9">
        <v>11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19</v>
      </c>
      <c r="S9">
        <v>20</v>
      </c>
      <c r="T9">
        <v>1</v>
      </c>
      <c r="U9">
        <f t="shared" si="0"/>
        <v>19</v>
      </c>
      <c r="V9">
        <f t="shared" si="1"/>
        <v>11</v>
      </c>
      <c r="W9">
        <f t="shared" si="2"/>
        <v>8</v>
      </c>
      <c r="X9">
        <v>2</v>
      </c>
      <c r="Y9">
        <v>6</v>
      </c>
    </row>
    <row r="10" spans="1:25" x14ac:dyDescent="0.2">
      <c r="A10" s="1" t="s">
        <v>10</v>
      </c>
      <c r="B10" s="1" t="s">
        <v>11</v>
      </c>
      <c r="C10" s="1">
        <v>9</v>
      </c>
      <c r="D10">
        <v>0</v>
      </c>
      <c r="E10">
        <v>9</v>
      </c>
      <c r="F10">
        <v>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20</v>
      </c>
      <c r="S10">
        <v>20</v>
      </c>
      <c r="T10">
        <v>0</v>
      </c>
      <c r="U10">
        <f t="shared" si="0"/>
        <v>20</v>
      </c>
      <c r="V10">
        <f t="shared" si="1"/>
        <v>17</v>
      </c>
      <c r="W10">
        <f t="shared" si="2"/>
        <v>3</v>
      </c>
      <c r="X10">
        <v>0</v>
      </c>
      <c r="Y10">
        <v>3</v>
      </c>
    </row>
    <row r="11" spans="1:25" x14ac:dyDescent="0.2">
      <c r="A11" s="1" t="s">
        <v>10</v>
      </c>
      <c r="B11" s="1" t="s">
        <v>11</v>
      </c>
      <c r="C11" s="1">
        <v>10</v>
      </c>
      <c r="D11">
        <v>0</v>
      </c>
      <c r="E11">
        <v>0</v>
      </c>
      <c r="F11">
        <v>11</v>
      </c>
      <c r="G11">
        <v>1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21</v>
      </c>
      <c r="S11">
        <v>20</v>
      </c>
      <c r="T11">
        <v>0</v>
      </c>
      <c r="U11">
        <f t="shared" si="0"/>
        <v>20</v>
      </c>
      <c r="V11">
        <f t="shared" si="1"/>
        <v>15</v>
      </c>
      <c r="W11">
        <f t="shared" si="2"/>
        <v>5</v>
      </c>
      <c r="X11">
        <v>3</v>
      </c>
      <c r="Y11">
        <v>2</v>
      </c>
    </row>
    <row r="12" spans="1:25" x14ac:dyDescent="0.2">
      <c r="A12" s="1" t="s">
        <v>10</v>
      </c>
      <c r="B12" s="1" t="s">
        <v>22</v>
      </c>
      <c r="C12" s="1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23</v>
      </c>
      <c r="S12">
        <v>20</v>
      </c>
      <c r="T12">
        <v>0</v>
      </c>
      <c r="U12">
        <f t="shared" si="0"/>
        <v>20</v>
      </c>
      <c r="V12">
        <f t="shared" si="1"/>
        <v>0</v>
      </c>
      <c r="W12">
        <f t="shared" si="2"/>
        <v>20</v>
      </c>
      <c r="X12">
        <v>18</v>
      </c>
      <c r="Y12">
        <v>2</v>
      </c>
    </row>
    <row r="13" spans="1:25" x14ac:dyDescent="0.2">
      <c r="A13" s="1" t="s">
        <v>10</v>
      </c>
      <c r="B13" s="1" t="s">
        <v>22</v>
      </c>
      <c r="C13" s="1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</v>
      </c>
      <c r="L13">
        <v>3</v>
      </c>
      <c r="M13">
        <v>1</v>
      </c>
      <c r="N13">
        <v>3</v>
      </c>
      <c r="S13">
        <v>20</v>
      </c>
      <c r="T13">
        <v>0</v>
      </c>
      <c r="U13">
        <f t="shared" si="0"/>
        <v>20</v>
      </c>
      <c r="V13">
        <f t="shared" si="1"/>
        <v>9</v>
      </c>
      <c r="W13">
        <f t="shared" si="2"/>
        <v>11</v>
      </c>
      <c r="X13">
        <v>11</v>
      </c>
      <c r="Y13">
        <v>0</v>
      </c>
    </row>
    <row r="14" spans="1:25" x14ac:dyDescent="0.2">
      <c r="A14" s="1" t="s">
        <v>10</v>
      </c>
      <c r="B14" s="1" t="s">
        <v>22</v>
      </c>
      <c r="C14" s="1">
        <v>3</v>
      </c>
      <c r="D14">
        <v>0</v>
      </c>
      <c r="E14">
        <v>0</v>
      </c>
      <c r="F14">
        <v>0</v>
      </c>
      <c r="G14">
        <v>0</v>
      </c>
      <c r="H14">
        <v>1</v>
      </c>
      <c r="I14">
        <v>4</v>
      </c>
      <c r="J14">
        <v>10</v>
      </c>
      <c r="K14">
        <v>0</v>
      </c>
      <c r="L14">
        <v>0</v>
      </c>
      <c r="M14">
        <v>0</v>
      </c>
      <c r="N14">
        <v>0</v>
      </c>
      <c r="O14" t="s">
        <v>24</v>
      </c>
      <c r="S14">
        <v>20</v>
      </c>
      <c r="T14">
        <v>0</v>
      </c>
      <c r="U14">
        <f t="shared" si="0"/>
        <v>20</v>
      </c>
      <c r="V14">
        <f t="shared" si="1"/>
        <v>15</v>
      </c>
      <c r="W14">
        <f t="shared" si="2"/>
        <v>5</v>
      </c>
      <c r="X14">
        <v>0</v>
      </c>
      <c r="Y14">
        <v>5</v>
      </c>
    </row>
    <row r="15" spans="1:25" x14ac:dyDescent="0.2">
      <c r="A15" s="1" t="s">
        <v>10</v>
      </c>
      <c r="B15" s="1" t="s">
        <v>22</v>
      </c>
      <c r="C15" s="1">
        <v>4</v>
      </c>
      <c r="D15">
        <v>0</v>
      </c>
      <c r="E15">
        <v>0</v>
      </c>
      <c r="F15">
        <v>0</v>
      </c>
      <c r="G15">
        <v>8</v>
      </c>
      <c r="H15">
        <v>9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S15">
        <v>20</v>
      </c>
      <c r="T15">
        <v>0</v>
      </c>
      <c r="U15">
        <f t="shared" si="0"/>
        <v>20</v>
      </c>
      <c r="V15">
        <f t="shared" si="1"/>
        <v>18</v>
      </c>
      <c r="W15">
        <f t="shared" si="2"/>
        <v>2</v>
      </c>
      <c r="X15">
        <v>0</v>
      </c>
      <c r="Y15">
        <v>2</v>
      </c>
    </row>
    <row r="16" spans="1:25" x14ac:dyDescent="0.2">
      <c r="A16" s="1" t="s">
        <v>10</v>
      </c>
      <c r="B16" s="1" t="s">
        <v>22</v>
      </c>
      <c r="C16" s="1">
        <v>5</v>
      </c>
      <c r="D16">
        <v>0</v>
      </c>
      <c r="E16">
        <v>0</v>
      </c>
      <c r="F16">
        <v>13</v>
      </c>
      <c r="G16">
        <v>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S16">
        <v>20</v>
      </c>
      <c r="T16">
        <v>1</v>
      </c>
      <c r="U16">
        <f t="shared" si="0"/>
        <v>19</v>
      </c>
      <c r="V16">
        <f t="shared" si="1"/>
        <v>17</v>
      </c>
      <c r="W16">
        <f t="shared" si="2"/>
        <v>2</v>
      </c>
      <c r="X16">
        <v>0</v>
      </c>
      <c r="Y16">
        <v>2</v>
      </c>
    </row>
    <row r="17" spans="1:25" x14ac:dyDescent="0.2">
      <c r="A17" s="1" t="s">
        <v>10</v>
      </c>
      <c r="B17" s="1" t="s">
        <v>22</v>
      </c>
      <c r="C17" s="1">
        <v>6</v>
      </c>
      <c r="D17">
        <v>0</v>
      </c>
      <c r="E17">
        <v>7</v>
      </c>
      <c r="F17">
        <v>8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 t="s">
        <v>25</v>
      </c>
      <c r="S17">
        <v>20</v>
      </c>
      <c r="T17">
        <v>0</v>
      </c>
      <c r="U17">
        <f t="shared" si="0"/>
        <v>20</v>
      </c>
      <c r="V17">
        <f t="shared" si="1"/>
        <v>17</v>
      </c>
      <c r="W17">
        <f t="shared" si="2"/>
        <v>3</v>
      </c>
      <c r="X17">
        <v>0</v>
      </c>
      <c r="Y17">
        <v>3</v>
      </c>
    </row>
    <row r="18" spans="1:25" x14ac:dyDescent="0.2">
      <c r="A18" s="1" t="s">
        <v>10</v>
      </c>
      <c r="B18" s="1" t="s">
        <v>22</v>
      </c>
      <c r="C18" s="1">
        <v>7</v>
      </c>
      <c r="D18">
        <v>0</v>
      </c>
      <c r="E18">
        <v>12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19</v>
      </c>
      <c r="S18">
        <v>20</v>
      </c>
      <c r="T18">
        <v>0</v>
      </c>
      <c r="U18">
        <f t="shared" si="0"/>
        <v>20</v>
      </c>
      <c r="V18">
        <f t="shared" si="1"/>
        <v>13</v>
      </c>
      <c r="W18">
        <f t="shared" si="2"/>
        <v>7</v>
      </c>
      <c r="X18">
        <v>0</v>
      </c>
      <c r="Y18">
        <v>7</v>
      </c>
    </row>
    <row r="19" spans="1:25" x14ac:dyDescent="0.2">
      <c r="A19" s="1" t="s">
        <v>10</v>
      </c>
      <c r="B19" s="1" t="s">
        <v>22</v>
      </c>
      <c r="C19" s="1">
        <v>8</v>
      </c>
      <c r="D19">
        <v>0</v>
      </c>
      <c r="E19">
        <v>12</v>
      </c>
      <c r="F19">
        <v>2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26</v>
      </c>
      <c r="S19">
        <v>20</v>
      </c>
      <c r="T19">
        <v>0</v>
      </c>
      <c r="U19">
        <f t="shared" si="0"/>
        <v>20</v>
      </c>
      <c r="V19">
        <f t="shared" si="1"/>
        <v>15</v>
      </c>
      <c r="W19">
        <f t="shared" si="2"/>
        <v>5</v>
      </c>
      <c r="X19">
        <v>0</v>
      </c>
      <c r="Y19">
        <v>5</v>
      </c>
    </row>
    <row r="20" spans="1:25" x14ac:dyDescent="0.2">
      <c r="A20" s="1" t="s">
        <v>10</v>
      </c>
      <c r="B20" s="1" t="s">
        <v>22</v>
      </c>
      <c r="C20" s="1">
        <v>9</v>
      </c>
      <c r="D20">
        <v>0</v>
      </c>
      <c r="E20">
        <v>13</v>
      </c>
      <c r="F20">
        <v>3</v>
      </c>
      <c r="G20">
        <v>0</v>
      </c>
      <c r="H20">
        <v>0</v>
      </c>
      <c r="I20">
        <v>0</v>
      </c>
      <c r="J20" s="2">
        <v>0</v>
      </c>
      <c r="K20">
        <v>0</v>
      </c>
      <c r="L20">
        <v>0</v>
      </c>
      <c r="M20">
        <v>0</v>
      </c>
      <c r="N20">
        <v>0</v>
      </c>
      <c r="O20" t="s">
        <v>27</v>
      </c>
      <c r="S20">
        <v>20</v>
      </c>
      <c r="T20">
        <v>2</v>
      </c>
      <c r="U20">
        <f t="shared" si="0"/>
        <v>18</v>
      </c>
      <c r="V20">
        <f t="shared" si="1"/>
        <v>16</v>
      </c>
      <c r="W20">
        <f t="shared" si="2"/>
        <v>2</v>
      </c>
      <c r="X20">
        <v>0</v>
      </c>
      <c r="Y20">
        <v>2</v>
      </c>
    </row>
    <row r="21" spans="1:25" x14ac:dyDescent="0.2">
      <c r="A21" s="1" t="s">
        <v>10</v>
      </c>
      <c r="B21" s="1" t="s">
        <v>22</v>
      </c>
      <c r="C21" s="1">
        <v>10</v>
      </c>
      <c r="D21">
        <v>0</v>
      </c>
      <c r="E21">
        <v>0</v>
      </c>
      <c r="F21">
        <v>1</v>
      </c>
      <c r="G21">
        <v>3</v>
      </c>
      <c r="H21">
        <v>6</v>
      </c>
      <c r="I21">
        <v>2</v>
      </c>
      <c r="J21">
        <v>4</v>
      </c>
      <c r="K21">
        <v>0</v>
      </c>
      <c r="L21">
        <v>0</v>
      </c>
      <c r="M21">
        <v>0</v>
      </c>
      <c r="N21">
        <v>1</v>
      </c>
      <c r="O21" t="s">
        <v>28</v>
      </c>
      <c r="S21">
        <v>20</v>
      </c>
      <c r="T21">
        <v>0</v>
      </c>
      <c r="U21">
        <f t="shared" si="0"/>
        <v>20</v>
      </c>
      <c r="V21">
        <f t="shared" si="1"/>
        <v>17</v>
      </c>
      <c r="W21">
        <f t="shared" si="2"/>
        <v>3</v>
      </c>
      <c r="X21">
        <v>1</v>
      </c>
      <c r="Y21">
        <v>2</v>
      </c>
    </row>
    <row r="22" spans="1:25" x14ac:dyDescent="0.2">
      <c r="A22" s="1" t="s">
        <v>10</v>
      </c>
      <c r="B22" s="1" t="s">
        <v>29</v>
      </c>
      <c r="C22" s="1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30</v>
      </c>
      <c r="S22">
        <v>20</v>
      </c>
      <c r="T22">
        <v>0</v>
      </c>
      <c r="U22">
        <f t="shared" si="0"/>
        <v>20</v>
      </c>
      <c r="V22">
        <f t="shared" si="1"/>
        <v>0</v>
      </c>
      <c r="W22">
        <f t="shared" si="2"/>
        <v>20</v>
      </c>
      <c r="X22">
        <v>15</v>
      </c>
      <c r="Y22">
        <v>5</v>
      </c>
    </row>
    <row r="23" spans="1:25" x14ac:dyDescent="0.2">
      <c r="A23" s="1" t="s">
        <v>10</v>
      </c>
      <c r="B23" s="1" t="s">
        <v>29</v>
      </c>
      <c r="C23" s="1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11</v>
      </c>
      <c r="N23">
        <v>2</v>
      </c>
      <c r="S23">
        <v>20</v>
      </c>
      <c r="T23">
        <v>0</v>
      </c>
      <c r="U23">
        <f t="shared" si="0"/>
        <v>20</v>
      </c>
      <c r="V23">
        <f t="shared" si="1"/>
        <v>14</v>
      </c>
      <c r="W23">
        <f t="shared" si="2"/>
        <v>6</v>
      </c>
      <c r="X23">
        <v>0</v>
      </c>
      <c r="Y23">
        <v>6</v>
      </c>
    </row>
    <row r="24" spans="1:25" x14ac:dyDescent="0.2">
      <c r="A24" s="1" t="s">
        <v>10</v>
      </c>
      <c r="B24" s="1" t="s">
        <v>29</v>
      </c>
      <c r="C24" s="1">
        <v>3</v>
      </c>
      <c r="D24">
        <v>0</v>
      </c>
      <c r="E24">
        <v>0</v>
      </c>
      <c r="F24">
        <v>0</v>
      </c>
      <c r="G24">
        <v>0</v>
      </c>
      <c r="H24">
        <v>1</v>
      </c>
      <c r="I24">
        <v>8</v>
      </c>
      <c r="J24">
        <v>8</v>
      </c>
      <c r="K24">
        <v>0</v>
      </c>
      <c r="L24">
        <v>0</v>
      </c>
      <c r="M24">
        <v>0</v>
      </c>
      <c r="N24">
        <v>0</v>
      </c>
      <c r="S24">
        <v>20</v>
      </c>
      <c r="T24">
        <v>0</v>
      </c>
      <c r="U24">
        <f t="shared" si="0"/>
        <v>20</v>
      </c>
      <c r="V24">
        <f t="shared" si="1"/>
        <v>17</v>
      </c>
      <c r="W24">
        <f t="shared" si="2"/>
        <v>3</v>
      </c>
      <c r="X24">
        <v>0</v>
      </c>
      <c r="Y24">
        <v>3</v>
      </c>
    </row>
    <row r="25" spans="1:25" x14ac:dyDescent="0.2">
      <c r="A25" s="1" t="s">
        <v>10</v>
      </c>
      <c r="B25" s="1" t="s">
        <v>29</v>
      </c>
      <c r="C25" s="1">
        <v>4</v>
      </c>
      <c r="D25">
        <v>0</v>
      </c>
      <c r="E25">
        <v>0</v>
      </c>
      <c r="F25">
        <v>0</v>
      </c>
      <c r="G25">
        <v>7</v>
      </c>
      <c r="H25">
        <v>12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S25">
        <v>20</v>
      </c>
      <c r="T25">
        <v>0</v>
      </c>
      <c r="U25">
        <f t="shared" si="0"/>
        <v>20</v>
      </c>
      <c r="V25">
        <f t="shared" si="1"/>
        <v>19</v>
      </c>
      <c r="W25">
        <f t="shared" si="2"/>
        <v>1</v>
      </c>
      <c r="X25">
        <v>0</v>
      </c>
      <c r="Y25">
        <v>1</v>
      </c>
    </row>
    <row r="26" spans="1:25" x14ac:dyDescent="0.2">
      <c r="A26" s="1" t="s">
        <v>10</v>
      </c>
      <c r="B26" s="1" t="s">
        <v>29</v>
      </c>
      <c r="C26" s="1">
        <v>5</v>
      </c>
      <c r="D26">
        <v>0</v>
      </c>
      <c r="E26">
        <v>0</v>
      </c>
      <c r="F26">
        <v>11</v>
      </c>
      <c r="G26">
        <v>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S26">
        <v>20</v>
      </c>
      <c r="T26">
        <v>0</v>
      </c>
      <c r="U26">
        <f t="shared" si="0"/>
        <v>20</v>
      </c>
      <c r="V26">
        <f t="shared" si="1"/>
        <v>15</v>
      </c>
      <c r="W26">
        <f t="shared" si="2"/>
        <v>5</v>
      </c>
      <c r="X26">
        <v>4</v>
      </c>
      <c r="Y26">
        <v>1</v>
      </c>
    </row>
    <row r="27" spans="1:25" x14ac:dyDescent="0.2">
      <c r="A27" s="1" t="s">
        <v>10</v>
      </c>
      <c r="B27" s="1" t="s">
        <v>29</v>
      </c>
      <c r="C27" s="1">
        <v>6</v>
      </c>
      <c r="D27">
        <v>0</v>
      </c>
      <c r="E27">
        <v>13</v>
      </c>
      <c r="F27">
        <v>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31</v>
      </c>
      <c r="S27">
        <v>20</v>
      </c>
      <c r="T27">
        <v>0</v>
      </c>
      <c r="U27">
        <f t="shared" si="0"/>
        <v>20</v>
      </c>
      <c r="V27">
        <f t="shared" si="1"/>
        <v>17</v>
      </c>
      <c r="W27">
        <f t="shared" si="2"/>
        <v>3</v>
      </c>
      <c r="X27">
        <v>0</v>
      </c>
      <c r="Y27">
        <v>3</v>
      </c>
    </row>
    <row r="28" spans="1:25" x14ac:dyDescent="0.2">
      <c r="A28" s="1" t="s">
        <v>10</v>
      </c>
      <c r="B28" s="1" t="s">
        <v>29</v>
      </c>
      <c r="C28" s="1">
        <v>7</v>
      </c>
      <c r="D28">
        <v>0</v>
      </c>
      <c r="E28">
        <v>16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19</v>
      </c>
      <c r="S28">
        <v>20</v>
      </c>
      <c r="T28">
        <v>0</v>
      </c>
      <c r="U28">
        <f t="shared" si="0"/>
        <v>20</v>
      </c>
      <c r="V28">
        <f t="shared" si="1"/>
        <v>16</v>
      </c>
      <c r="W28">
        <f t="shared" si="2"/>
        <v>4</v>
      </c>
      <c r="X28">
        <v>0</v>
      </c>
      <c r="Y28">
        <v>4</v>
      </c>
    </row>
    <row r="29" spans="1:25" x14ac:dyDescent="0.2">
      <c r="A29" s="1" t="s">
        <v>10</v>
      </c>
      <c r="B29" s="1" t="s">
        <v>29</v>
      </c>
      <c r="C29" s="1">
        <v>8</v>
      </c>
      <c r="D29">
        <v>0</v>
      </c>
      <c r="E29">
        <v>14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26</v>
      </c>
      <c r="S29">
        <v>20</v>
      </c>
      <c r="T29">
        <v>0</v>
      </c>
      <c r="U29">
        <f t="shared" si="0"/>
        <v>20</v>
      </c>
      <c r="V29">
        <f t="shared" si="1"/>
        <v>14</v>
      </c>
      <c r="W29">
        <f t="shared" si="2"/>
        <v>6</v>
      </c>
      <c r="X29">
        <v>0</v>
      </c>
      <c r="Y29">
        <v>6</v>
      </c>
    </row>
    <row r="30" spans="1:25" x14ac:dyDescent="0.2">
      <c r="A30" s="1" t="s">
        <v>10</v>
      </c>
      <c r="B30" s="1" t="s">
        <v>29</v>
      </c>
      <c r="C30" s="1">
        <v>9</v>
      </c>
      <c r="D30">
        <v>0</v>
      </c>
      <c r="E30">
        <v>8</v>
      </c>
      <c r="F30">
        <v>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27</v>
      </c>
      <c r="S30">
        <v>20</v>
      </c>
      <c r="T30">
        <v>0</v>
      </c>
      <c r="U30">
        <f t="shared" si="0"/>
        <v>20</v>
      </c>
      <c r="V30">
        <f t="shared" si="1"/>
        <v>17</v>
      </c>
      <c r="W30">
        <f t="shared" si="2"/>
        <v>3</v>
      </c>
      <c r="X30">
        <v>0</v>
      </c>
      <c r="Y30">
        <v>3</v>
      </c>
    </row>
    <row r="31" spans="1:25" x14ac:dyDescent="0.2">
      <c r="A31" s="1" t="s">
        <v>10</v>
      </c>
      <c r="B31" s="1" t="s">
        <v>29</v>
      </c>
      <c r="C31" s="1">
        <v>10</v>
      </c>
      <c r="D31">
        <v>0</v>
      </c>
      <c r="E31">
        <v>0</v>
      </c>
      <c r="F31">
        <v>12</v>
      </c>
      <c r="G31">
        <v>3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32</v>
      </c>
      <c r="S31">
        <v>20</v>
      </c>
      <c r="T31">
        <v>0</v>
      </c>
      <c r="U31">
        <f t="shared" si="0"/>
        <v>20</v>
      </c>
      <c r="V31">
        <f t="shared" si="1"/>
        <v>17</v>
      </c>
      <c r="W31">
        <f t="shared" si="2"/>
        <v>3</v>
      </c>
      <c r="X31">
        <v>0</v>
      </c>
      <c r="Y31">
        <v>3</v>
      </c>
    </row>
    <row r="32" spans="1:25" x14ac:dyDescent="0.2">
      <c r="A32" s="1" t="s">
        <v>33</v>
      </c>
      <c r="B32" s="1" t="s">
        <v>34</v>
      </c>
      <c r="C32" s="1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S32">
        <v>20</v>
      </c>
      <c r="T32">
        <v>0</v>
      </c>
      <c r="U32">
        <f t="shared" si="0"/>
        <v>20</v>
      </c>
      <c r="V32">
        <f t="shared" si="1"/>
        <v>0</v>
      </c>
      <c r="W32">
        <f t="shared" si="2"/>
        <v>20</v>
      </c>
      <c r="X32">
        <v>11</v>
      </c>
      <c r="Y32">
        <v>9</v>
      </c>
    </row>
    <row r="33" spans="1:25" x14ac:dyDescent="0.2">
      <c r="A33" s="1" t="s">
        <v>33</v>
      </c>
      <c r="B33" s="1" t="s">
        <v>34</v>
      </c>
      <c r="C33" s="1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3</v>
      </c>
      <c r="M33">
        <v>5</v>
      </c>
      <c r="N33">
        <v>5</v>
      </c>
      <c r="S33">
        <v>20</v>
      </c>
      <c r="T33">
        <v>0</v>
      </c>
      <c r="U33">
        <f t="shared" si="0"/>
        <v>20</v>
      </c>
      <c r="V33">
        <f t="shared" si="1"/>
        <v>14</v>
      </c>
      <c r="W33">
        <f t="shared" si="2"/>
        <v>6</v>
      </c>
      <c r="X33">
        <v>3</v>
      </c>
      <c r="Y33">
        <v>3</v>
      </c>
    </row>
    <row r="34" spans="1:25" x14ac:dyDescent="0.2">
      <c r="A34" s="1" t="s">
        <v>33</v>
      </c>
      <c r="B34" s="1" t="s">
        <v>34</v>
      </c>
      <c r="C34" s="1">
        <v>3</v>
      </c>
      <c r="D34">
        <v>0</v>
      </c>
      <c r="E34">
        <v>0</v>
      </c>
      <c r="F34">
        <v>0</v>
      </c>
      <c r="G34">
        <v>0</v>
      </c>
      <c r="H34">
        <v>5</v>
      </c>
      <c r="I34">
        <v>4</v>
      </c>
      <c r="J34">
        <v>7</v>
      </c>
      <c r="K34">
        <v>0</v>
      </c>
      <c r="L34">
        <v>0</v>
      </c>
      <c r="M34">
        <v>0</v>
      </c>
      <c r="N34">
        <v>0</v>
      </c>
      <c r="S34">
        <v>20</v>
      </c>
      <c r="T34">
        <v>0</v>
      </c>
      <c r="U34">
        <f t="shared" si="0"/>
        <v>20</v>
      </c>
      <c r="V34">
        <f t="shared" ref="V34:V61" si="3">SUM(D34:N34)</f>
        <v>16</v>
      </c>
      <c r="W34">
        <f t="shared" si="2"/>
        <v>4</v>
      </c>
      <c r="X34">
        <v>0</v>
      </c>
      <c r="Y34">
        <v>4</v>
      </c>
    </row>
    <row r="35" spans="1:25" x14ac:dyDescent="0.2">
      <c r="A35" s="1" t="s">
        <v>33</v>
      </c>
      <c r="B35" s="1" t="s">
        <v>34</v>
      </c>
      <c r="C35" s="1">
        <v>4</v>
      </c>
      <c r="D35">
        <v>0</v>
      </c>
      <c r="E35">
        <v>0</v>
      </c>
      <c r="F35">
        <v>0</v>
      </c>
      <c r="G35">
        <v>4</v>
      </c>
      <c r="H35">
        <v>12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S35">
        <v>20</v>
      </c>
      <c r="T35">
        <v>0</v>
      </c>
      <c r="U35">
        <f t="shared" si="0"/>
        <v>20</v>
      </c>
      <c r="V35">
        <f t="shared" si="3"/>
        <v>17</v>
      </c>
      <c r="W35">
        <f t="shared" si="2"/>
        <v>3</v>
      </c>
      <c r="X35">
        <v>0</v>
      </c>
      <c r="Y35">
        <v>3</v>
      </c>
    </row>
    <row r="36" spans="1:25" x14ac:dyDescent="0.2">
      <c r="A36" s="1" t="s">
        <v>33</v>
      </c>
      <c r="B36" s="1" t="s">
        <v>34</v>
      </c>
      <c r="C36" s="1">
        <v>5</v>
      </c>
      <c r="D36">
        <v>0</v>
      </c>
      <c r="E36">
        <v>0</v>
      </c>
      <c r="F36">
        <v>6</v>
      </c>
      <c r="G36">
        <v>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S36">
        <v>20</v>
      </c>
      <c r="T36">
        <v>0</v>
      </c>
      <c r="U36">
        <f t="shared" si="0"/>
        <v>20</v>
      </c>
      <c r="V36">
        <f t="shared" si="3"/>
        <v>13</v>
      </c>
      <c r="W36">
        <f t="shared" si="2"/>
        <v>7</v>
      </c>
      <c r="X36">
        <v>0</v>
      </c>
      <c r="Y36">
        <v>7</v>
      </c>
    </row>
    <row r="37" spans="1:25" x14ac:dyDescent="0.2">
      <c r="A37" s="1" t="s">
        <v>33</v>
      </c>
      <c r="B37" s="1" t="s">
        <v>34</v>
      </c>
      <c r="C37" s="1">
        <v>6</v>
      </c>
      <c r="D37">
        <v>0</v>
      </c>
      <c r="E37">
        <v>4</v>
      </c>
      <c r="F37">
        <v>8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S37">
        <v>20</v>
      </c>
      <c r="T37">
        <v>0</v>
      </c>
      <c r="U37">
        <f t="shared" si="0"/>
        <v>20</v>
      </c>
      <c r="V37">
        <f t="shared" si="3"/>
        <v>14</v>
      </c>
      <c r="W37">
        <f t="shared" si="2"/>
        <v>6</v>
      </c>
      <c r="X37">
        <v>0</v>
      </c>
      <c r="Y37">
        <v>6</v>
      </c>
    </row>
    <row r="38" spans="1:25" x14ac:dyDescent="0.2">
      <c r="A38" s="1" t="s">
        <v>33</v>
      </c>
      <c r="B38" s="1" t="s">
        <v>34</v>
      </c>
      <c r="C38" s="1">
        <v>7</v>
      </c>
      <c r="D38">
        <v>0</v>
      </c>
      <c r="E38">
        <v>10</v>
      </c>
      <c r="F38">
        <v>4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S38">
        <v>20</v>
      </c>
      <c r="T38">
        <v>0</v>
      </c>
      <c r="U38">
        <f t="shared" si="0"/>
        <v>20</v>
      </c>
      <c r="V38">
        <f t="shared" si="3"/>
        <v>16</v>
      </c>
      <c r="W38">
        <f t="shared" si="2"/>
        <v>4</v>
      </c>
      <c r="X38">
        <v>0</v>
      </c>
      <c r="Y38">
        <v>4</v>
      </c>
    </row>
    <row r="39" spans="1:25" x14ac:dyDescent="0.2">
      <c r="A39" s="1" t="s">
        <v>33</v>
      </c>
      <c r="B39" s="1" t="s">
        <v>34</v>
      </c>
      <c r="C39" s="1">
        <v>8</v>
      </c>
      <c r="D39">
        <v>0</v>
      </c>
      <c r="E39">
        <v>3</v>
      </c>
      <c r="F39">
        <v>0</v>
      </c>
      <c r="G39">
        <v>0</v>
      </c>
      <c r="H39">
        <v>2</v>
      </c>
      <c r="I39">
        <v>10</v>
      </c>
      <c r="J39">
        <v>0</v>
      </c>
      <c r="K39">
        <v>0</v>
      </c>
      <c r="L39">
        <v>0</v>
      </c>
      <c r="M39">
        <v>1</v>
      </c>
      <c r="N39">
        <v>0</v>
      </c>
      <c r="S39">
        <v>20</v>
      </c>
      <c r="T39">
        <v>0</v>
      </c>
      <c r="U39">
        <f t="shared" si="0"/>
        <v>20</v>
      </c>
      <c r="V39">
        <f t="shared" si="3"/>
        <v>16</v>
      </c>
      <c r="W39">
        <f t="shared" si="2"/>
        <v>4</v>
      </c>
      <c r="X39">
        <v>1</v>
      </c>
      <c r="Y39">
        <v>3</v>
      </c>
    </row>
    <row r="40" spans="1:25" x14ac:dyDescent="0.2">
      <c r="A40" s="1" t="s">
        <v>33</v>
      </c>
      <c r="B40" s="1" t="s">
        <v>34</v>
      </c>
      <c r="C40" s="1">
        <v>9</v>
      </c>
      <c r="D40">
        <v>0</v>
      </c>
      <c r="E40">
        <v>7</v>
      </c>
      <c r="F40">
        <v>6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S40">
        <v>20</v>
      </c>
      <c r="T40">
        <v>0</v>
      </c>
      <c r="U40">
        <f t="shared" si="0"/>
        <v>20</v>
      </c>
      <c r="V40">
        <f t="shared" si="3"/>
        <v>16</v>
      </c>
      <c r="W40">
        <f t="shared" si="2"/>
        <v>4</v>
      </c>
      <c r="X40">
        <v>0</v>
      </c>
      <c r="Y40">
        <v>4</v>
      </c>
    </row>
    <row r="41" spans="1:25" x14ac:dyDescent="0.2">
      <c r="A41" s="1" t="s">
        <v>33</v>
      </c>
      <c r="B41" s="1" t="s">
        <v>34</v>
      </c>
      <c r="C41" s="1">
        <v>10</v>
      </c>
      <c r="D41">
        <v>0</v>
      </c>
      <c r="E41">
        <v>2</v>
      </c>
      <c r="F41">
        <v>6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 t="s">
        <v>30</v>
      </c>
      <c r="S41">
        <v>20</v>
      </c>
      <c r="T41">
        <v>0</v>
      </c>
      <c r="U41">
        <f t="shared" si="0"/>
        <v>20</v>
      </c>
      <c r="V41">
        <f t="shared" si="3"/>
        <v>10</v>
      </c>
      <c r="W41">
        <f t="shared" si="2"/>
        <v>10</v>
      </c>
      <c r="X41">
        <v>5</v>
      </c>
      <c r="Y41">
        <v>5</v>
      </c>
    </row>
    <row r="42" spans="1:25" x14ac:dyDescent="0.2">
      <c r="A42" s="1" t="s">
        <v>33</v>
      </c>
      <c r="B42" s="1" t="s">
        <v>35</v>
      </c>
      <c r="C42" s="1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S42">
        <v>20</v>
      </c>
      <c r="T42">
        <v>0</v>
      </c>
      <c r="U42">
        <f t="shared" si="0"/>
        <v>20</v>
      </c>
      <c r="V42">
        <f t="shared" si="3"/>
        <v>0</v>
      </c>
      <c r="W42">
        <f t="shared" si="2"/>
        <v>20</v>
      </c>
      <c r="X42">
        <v>17</v>
      </c>
      <c r="Y42">
        <v>3</v>
      </c>
    </row>
    <row r="43" spans="1:25" x14ac:dyDescent="0.2">
      <c r="A43" s="1" t="s">
        <v>33</v>
      </c>
      <c r="B43" s="1" t="s">
        <v>35</v>
      </c>
      <c r="C43" s="1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8</v>
      </c>
      <c r="K43">
        <v>2</v>
      </c>
      <c r="L43">
        <v>3</v>
      </c>
      <c r="M43">
        <v>5</v>
      </c>
      <c r="N43">
        <v>0</v>
      </c>
      <c r="S43">
        <v>20</v>
      </c>
      <c r="T43">
        <v>0</v>
      </c>
      <c r="U43">
        <f t="shared" si="0"/>
        <v>20</v>
      </c>
      <c r="V43">
        <f t="shared" si="3"/>
        <v>18</v>
      </c>
      <c r="W43">
        <f t="shared" si="2"/>
        <v>2</v>
      </c>
      <c r="X43">
        <v>0</v>
      </c>
      <c r="Y43">
        <v>2</v>
      </c>
    </row>
    <row r="44" spans="1:25" x14ac:dyDescent="0.2">
      <c r="A44" s="1" t="s">
        <v>33</v>
      </c>
      <c r="B44" s="1" t="s">
        <v>35</v>
      </c>
      <c r="C44" s="1">
        <v>3</v>
      </c>
      <c r="D44">
        <v>0</v>
      </c>
      <c r="E44">
        <v>0</v>
      </c>
      <c r="F44">
        <v>0</v>
      </c>
      <c r="G44">
        <v>0</v>
      </c>
      <c r="H44">
        <v>16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  <c r="S44">
        <v>20</v>
      </c>
      <c r="T44">
        <v>0</v>
      </c>
      <c r="U44">
        <f t="shared" si="0"/>
        <v>20</v>
      </c>
      <c r="V44">
        <f t="shared" si="3"/>
        <v>18</v>
      </c>
      <c r="W44">
        <f t="shared" si="2"/>
        <v>2</v>
      </c>
      <c r="X44">
        <v>0</v>
      </c>
      <c r="Y44">
        <v>2</v>
      </c>
    </row>
    <row r="45" spans="1:25" x14ac:dyDescent="0.2">
      <c r="A45" s="1" t="s">
        <v>33</v>
      </c>
      <c r="B45" s="1" t="s">
        <v>35</v>
      </c>
      <c r="C45" s="1">
        <v>4</v>
      </c>
      <c r="D45">
        <v>0</v>
      </c>
      <c r="E45">
        <v>0</v>
      </c>
      <c r="F45">
        <v>0</v>
      </c>
      <c r="G45">
        <v>9</v>
      </c>
      <c r="H45">
        <v>10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S45">
        <v>20</v>
      </c>
      <c r="T45">
        <v>0</v>
      </c>
      <c r="U45">
        <f t="shared" si="0"/>
        <v>20</v>
      </c>
      <c r="V45">
        <f t="shared" si="3"/>
        <v>19</v>
      </c>
      <c r="W45">
        <f t="shared" si="2"/>
        <v>1</v>
      </c>
      <c r="X45">
        <v>0</v>
      </c>
      <c r="Y45">
        <v>1</v>
      </c>
    </row>
    <row r="46" spans="1:25" x14ac:dyDescent="0.2">
      <c r="A46" s="1" t="s">
        <v>33</v>
      </c>
      <c r="B46" s="1" t="s">
        <v>35</v>
      </c>
      <c r="C46" s="1">
        <v>5</v>
      </c>
      <c r="D46">
        <v>0</v>
      </c>
      <c r="E46">
        <v>0</v>
      </c>
      <c r="F46">
        <v>8</v>
      </c>
      <c r="G46">
        <v>6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S46">
        <v>20</v>
      </c>
      <c r="T46">
        <v>0</v>
      </c>
      <c r="U46">
        <f t="shared" si="0"/>
        <v>20</v>
      </c>
      <c r="V46">
        <f t="shared" si="3"/>
        <v>15</v>
      </c>
      <c r="W46">
        <f t="shared" si="2"/>
        <v>5</v>
      </c>
      <c r="X46">
        <v>0</v>
      </c>
      <c r="Y46">
        <v>5</v>
      </c>
    </row>
    <row r="47" spans="1:25" x14ac:dyDescent="0.2">
      <c r="A47" s="1" t="s">
        <v>33</v>
      </c>
      <c r="B47" s="1" t="s">
        <v>35</v>
      </c>
      <c r="C47" s="1">
        <v>6</v>
      </c>
      <c r="D47">
        <v>0</v>
      </c>
      <c r="E47">
        <v>6</v>
      </c>
      <c r="F47">
        <v>7</v>
      </c>
      <c r="G47">
        <v>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S47">
        <v>20</v>
      </c>
      <c r="T47">
        <v>0</v>
      </c>
      <c r="U47">
        <f t="shared" si="0"/>
        <v>20</v>
      </c>
      <c r="V47">
        <f t="shared" si="3"/>
        <v>16</v>
      </c>
      <c r="W47">
        <f t="shared" si="2"/>
        <v>4</v>
      </c>
      <c r="X47">
        <v>0</v>
      </c>
      <c r="Y47">
        <v>4</v>
      </c>
    </row>
    <row r="48" spans="1:25" x14ac:dyDescent="0.2">
      <c r="A48" s="1" t="s">
        <v>33</v>
      </c>
      <c r="B48" s="1" t="s">
        <v>35</v>
      </c>
      <c r="C48" s="1">
        <v>7</v>
      </c>
      <c r="D48">
        <v>0</v>
      </c>
      <c r="E48">
        <v>10</v>
      </c>
      <c r="F48">
        <v>3</v>
      </c>
      <c r="G48">
        <v>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S48">
        <v>20</v>
      </c>
      <c r="T48">
        <v>0</v>
      </c>
      <c r="U48">
        <f t="shared" si="0"/>
        <v>20</v>
      </c>
      <c r="V48">
        <f t="shared" si="3"/>
        <v>17</v>
      </c>
      <c r="W48">
        <f t="shared" si="2"/>
        <v>3</v>
      </c>
      <c r="X48">
        <v>0</v>
      </c>
      <c r="Y48">
        <v>3</v>
      </c>
    </row>
    <row r="49" spans="1:25" x14ac:dyDescent="0.2">
      <c r="A49" s="1" t="s">
        <v>33</v>
      </c>
      <c r="B49" s="1" t="s">
        <v>35</v>
      </c>
      <c r="C49" s="1">
        <v>8</v>
      </c>
      <c r="D49">
        <v>0</v>
      </c>
      <c r="E49">
        <v>13</v>
      </c>
      <c r="F49">
        <v>3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36</v>
      </c>
      <c r="S49">
        <v>20</v>
      </c>
      <c r="T49">
        <v>0</v>
      </c>
      <c r="U49">
        <f t="shared" si="0"/>
        <v>20</v>
      </c>
      <c r="V49">
        <f t="shared" si="3"/>
        <v>17</v>
      </c>
      <c r="W49">
        <f t="shared" si="2"/>
        <v>3</v>
      </c>
      <c r="X49">
        <v>0</v>
      </c>
      <c r="Y49">
        <v>3</v>
      </c>
    </row>
    <row r="50" spans="1:25" x14ac:dyDescent="0.2">
      <c r="A50" s="1" t="s">
        <v>33</v>
      </c>
      <c r="B50" s="1" t="s">
        <v>35</v>
      </c>
      <c r="C50" s="1">
        <v>9</v>
      </c>
      <c r="D50">
        <v>0</v>
      </c>
      <c r="E50">
        <v>3</v>
      </c>
      <c r="F50">
        <v>10</v>
      </c>
      <c r="G50">
        <v>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S50">
        <v>20</v>
      </c>
      <c r="T50">
        <v>0</v>
      </c>
      <c r="U50">
        <f t="shared" si="0"/>
        <v>20</v>
      </c>
      <c r="V50">
        <f t="shared" si="3"/>
        <v>17</v>
      </c>
      <c r="W50">
        <f t="shared" si="2"/>
        <v>3</v>
      </c>
      <c r="X50">
        <v>0</v>
      </c>
      <c r="Y50">
        <v>3</v>
      </c>
    </row>
    <row r="51" spans="1:25" x14ac:dyDescent="0.2">
      <c r="A51" s="1" t="s">
        <v>33</v>
      </c>
      <c r="B51" s="1" t="s">
        <v>35</v>
      </c>
      <c r="C51" s="1">
        <v>10</v>
      </c>
      <c r="D51">
        <v>0</v>
      </c>
      <c r="E51">
        <v>1</v>
      </c>
      <c r="F51">
        <v>6</v>
      </c>
      <c r="G51">
        <v>4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 t="s">
        <v>30</v>
      </c>
      <c r="S51">
        <v>20</v>
      </c>
      <c r="T51">
        <v>0</v>
      </c>
      <c r="U51">
        <f t="shared" si="0"/>
        <v>20</v>
      </c>
      <c r="V51">
        <f t="shared" si="3"/>
        <v>14</v>
      </c>
      <c r="W51">
        <f t="shared" si="2"/>
        <v>6</v>
      </c>
      <c r="X51">
        <v>2</v>
      </c>
      <c r="Y51">
        <v>4</v>
      </c>
    </row>
    <row r="52" spans="1:25" x14ac:dyDescent="0.2">
      <c r="A52" s="1" t="s">
        <v>33</v>
      </c>
      <c r="B52" s="1" t="s">
        <v>37</v>
      </c>
      <c r="C52" s="1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S52">
        <v>20</v>
      </c>
      <c r="T52">
        <v>0</v>
      </c>
      <c r="U52">
        <f t="shared" si="0"/>
        <v>20</v>
      </c>
      <c r="V52">
        <f t="shared" si="3"/>
        <v>0</v>
      </c>
      <c r="W52">
        <f t="shared" si="2"/>
        <v>20</v>
      </c>
      <c r="X52">
        <v>15</v>
      </c>
      <c r="Y52">
        <v>5</v>
      </c>
    </row>
    <row r="53" spans="1:25" x14ac:dyDescent="0.2">
      <c r="A53" s="1" t="s">
        <v>33</v>
      </c>
      <c r="B53" s="1" t="s">
        <v>37</v>
      </c>
      <c r="C53" s="1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</v>
      </c>
      <c r="K53">
        <v>2</v>
      </c>
      <c r="L53">
        <v>5</v>
      </c>
      <c r="M53">
        <v>6</v>
      </c>
      <c r="N53">
        <v>0</v>
      </c>
      <c r="S53">
        <v>20</v>
      </c>
      <c r="T53">
        <v>0</v>
      </c>
      <c r="U53">
        <f t="shared" si="0"/>
        <v>20</v>
      </c>
      <c r="V53">
        <f t="shared" si="3"/>
        <v>15</v>
      </c>
      <c r="W53">
        <f t="shared" si="2"/>
        <v>5</v>
      </c>
      <c r="X53">
        <v>0</v>
      </c>
      <c r="Y53">
        <v>5</v>
      </c>
    </row>
    <row r="54" spans="1:25" x14ac:dyDescent="0.2">
      <c r="A54" s="1" t="s">
        <v>33</v>
      </c>
      <c r="B54" s="1" t="s">
        <v>37</v>
      </c>
      <c r="C54" s="1">
        <v>3</v>
      </c>
      <c r="D54">
        <v>0</v>
      </c>
      <c r="E54">
        <v>0</v>
      </c>
      <c r="F54">
        <v>0</v>
      </c>
      <c r="G54">
        <v>0</v>
      </c>
      <c r="H54">
        <v>11</v>
      </c>
      <c r="I54">
        <v>4</v>
      </c>
      <c r="J54">
        <v>0</v>
      </c>
      <c r="K54">
        <v>0</v>
      </c>
      <c r="L54">
        <v>0</v>
      </c>
      <c r="M54">
        <v>0</v>
      </c>
      <c r="N54">
        <v>0</v>
      </c>
      <c r="S54">
        <v>20</v>
      </c>
      <c r="T54">
        <v>0</v>
      </c>
      <c r="U54">
        <f t="shared" si="0"/>
        <v>20</v>
      </c>
      <c r="V54">
        <f t="shared" si="3"/>
        <v>15</v>
      </c>
      <c r="W54">
        <f t="shared" si="2"/>
        <v>5</v>
      </c>
      <c r="X54">
        <v>0</v>
      </c>
      <c r="Y54">
        <v>5</v>
      </c>
    </row>
    <row r="55" spans="1:25" x14ac:dyDescent="0.2">
      <c r="A55" s="1" t="s">
        <v>33</v>
      </c>
      <c r="B55" s="1" t="s">
        <v>37</v>
      </c>
      <c r="C55" s="1">
        <v>4</v>
      </c>
      <c r="D55">
        <v>0</v>
      </c>
      <c r="E55">
        <v>0</v>
      </c>
      <c r="F55">
        <v>0</v>
      </c>
      <c r="G55">
        <v>14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S55">
        <v>20</v>
      </c>
      <c r="T55">
        <v>0</v>
      </c>
      <c r="U55">
        <f t="shared" si="0"/>
        <v>20</v>
      </c>
      <c r="V55">
        <f t="shared" si="3"/>
        <v>16</v>
      </c>
      <c r="W55">
        <f t="shared" si="2"/>
        <v>4</v>
      </c>
      <c r="X55">
        <v>0</v>
      </c>
      <c r="Y55">
        <v>4</v>
      </c>
    </row>
    <row r="56" spans="1:25" x14ac:dyDescent="0.2">
      <c r="A56" s="1" t="s">
        <v>33</v>
      </c>
      <c r="B56" s="1" t="s">
        <v>37</v>
      </c>
      <c r="C56" s="1">
        <v>5</v>
      </c>
      <c r="D56">
        <v>0</v>
      </c>
      <c r="E56">
        <v>0</v>
      </c>
      <c r="F56">
        <v>16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S56">
        <v>20</v>
      </c>
      <c r="T56">
        <v>0</v>
      </c>
      <c r="U56">
        <f t="shared" si="0"/>
        <v>20</v>
      </c>
      <c r="V56">
        <f t="shared" si="3"/>
        <v>16</v>
      </c>
      <c r="W56">
        <f t="shared" si="2"/>
        <v>4</v>
      </c>
      <c r="X56">
        <v>0</v>
      </c>
      <c r="Y56">
        <v>4</v>
      </c>
    </row>
    <row r="57" spans="1:25" x14ac:dyDescent="0.2">
      <c r="A57" s="1" t="s">
        <v>33</v>
      </c>
      <c r="B57" s="1" t="s">
        <v>37</v>
      </c>
      <c r="C57" s="1">
        <v>6</v>
      </c>
      <c r="D57">
        <v>0</v>
      </c>
      <c r="E57">
        <v>10</v>
      </c>
      <c r="F57">
        <v>4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S57">
        <v>20</v>
      </c>
      <c r="T57">
        <v>0</v>
      </c>
      <c r="U57">
        <f t="shared" si="0"/>
        <v>20</v>
      </c>
      <c r="V57">
        <f t="shared" si="3"/>
        <v>15</v>
      </c>
      <c r="W57">
        <f t="shared" si="2"/>
        <v>5</v>
      </c>
      <c r="X57">
        <v>1</v>
      </c>
      <c r="Y57">
        <v>4</v>
      </c>
    </row>
    <row r="58" spans="1:25" x14ac:dyDescent="0.2">
      <c r="A58" s="1" t="s">
        <v>33</v>
      </c>
      <c r="B58" s="1" t="s">
        <v>37</v>
      </c>
      <c r="C58" s="1">
        <v>7</v>
      </c>
      <c r="D58">
        <v>0</v>
      </c>
      <c r="E58">
        <v>17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S58">
        <v>20</v>
      </c>
      <c r="T58">
        <v>0</v>
      </c>
      <c r="U58">
        <f t="shared" si="0"/>
        <v>20</v>
      </c>
      <c r="V58">
        <f t="shared" si="3"/>
        <v>17</v>
      </c>
      <c r="W58">
        <f t="shared" si="2"/>
        <v>3</v>
      </c>
      <c r="X58">
        <v>0</v>
      </c>
      <c r="Y58">
        <v>3</v>
      </c>
    </row>
    <row r="59" spans="1:25" x14ac:dyDescent="0.2">
      <c r="A59" s="1" t="s">
        <v>33</v>
      </c>
      <c r="B59" s="1" t="s">
        <v>37</v>
      </c>
      <c r="C59" s="1">
        <v>8</v>
      </c>
      <c r="D59">
        <v>0</v>
      </c>
      <c r="E59">
        <v>14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S59">
        <v>20</v>
      </c>
      <c r="T59">
        <v>0</v>
      </c>
      <c r="U59">
        <f t="shared" si="0"/>
        <v>20</v>
      </c>
      <c r="V59">
        <f t="shared" si="3"/>
        <v>15</v>
      </c>
      <c r="W59">
        <f t="shared" si="2"/>
        <v>5</v>
      </c>
      <c r="X59">
        <v>0</v>
      </c>
      <c r="Y59">
        <v>5</v>
      </c>
    </row>
    <row r="60" spans="1:25" x14ac:dyDescent="0.2">
      <c r="A60" s="1" t="s">
        <v>33</v>
      </c>
      <c r="B60" s="1" t="s">
        <v>37</v>
      </c>
      <c r="C60" s="1">
        <v>9</v>
      </c>
      <c r="D60">
        <v>0</v>
      </c>
      <c r="E60">
        <v>15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30</v>
      </c>
      <c r="S60">
        <v>20</v>
      </c>
      <c r="T60">
        <v>0</v>
      </c>
      <c r="U60">
        <v>20</v>
      </c>
      <c r="V60">
        <f t="shared" si="3"/>
        <v>17</v>
      </c>
      <c r="W60">
        <f t="shared" si="2"/>
        <v>3</v>
      </c>
      <c r="X60">
        <v>0</v>
      </c>
      <c r="Y60">
        <v>3</v>
      </c>
    </row>
    <row r="61" spans="1:25" x14ac:dyDescent="0.2">
      <c r="A61" s="1" t="s">
        <v>33</v>
      </c>
      <c r="B61" s="1" t="s">
        <v>37</v>
      </c>
      <c r="C61" s="1">
        <v>10</v>
      </c>
      <c r="D61">
        <v>0</v>
      </c>
      <c r="E61">
        <v>0</v>
      </c>
      <c r="F61">
        <v>2</v>
      </c>
      <c r="G61">
        <v>5</v>
      </c>
      <c r="H61">
        <v>2</v>
      </c>
      <c r="I61">
        <v>1</v>
      </c>
      <c r="J61">
        <v>0</v>
      </c>
      <c r="K61">
        <v>0</v>
      </c>
      <c r="L61">
        <v>1</v>
      </c>
      <c r="M61">
        <v>0</v>
      </c>
      <c r="N61">
        <v>0</v>
      </c>
      <c r="P61" t="s">
        <v>38</v>
      </c>
      <c r="S61">
        <v>20</v>
      </c>
      <c r="T61">
        <v>0</v>
      </c>
      <c r="U61">
        <v>20</v>
      </c>
      <c r="V61">
        <f t="shared" si="3"/>
        <v>11</v>
      </c>
      <c r="W61">
        <f t="shared" si="2"/>
        <v>9</v>
      </c>
      <c r="X61">
        <v>3</v>
      </c>
      <c r="Y6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FE7B-AC8E-CA40-A91F-C00179237AFC}">
  <dimension ref="A1:T61"/>
  <sheetViews>
    <sheetView topLeftCell="H1" workbookViewId="0">
      <selection sqref="A1:XFD1"/>
    </sheetView>
  </sheetViews>
  <sheetFormatPr baseColWidth="10" defaultColWidth="8.83203125" defaultRowHeight="16" x14ac:dyDescent="0.2"/>
  <cols>
    <col min="1" max="9" width="10.5" bestFit="1" customWidth="1"/>
    <col min="10" max="18" width="11.5" bestFit="1" customWidth="1"/>
    <col min="19" max="19" width="13" bestFit="1" customWidth="1"/>
    <col min="20" max="20" width="13.33203125" bestFit="1" customWidth="1"/>
  </cols>
  <sheetData>
    <row r="1" spans="1:20" s="3" customFormat="1" x14ac:dyDescent="0.2">
      <c r="A1" s="3" t="s">
        <v>0</v>
      </c>
      <c r="B1" s="3" t="s">
        <v>1</v>
      </c>
      <c r="C1" s="3" t="s">
        <v>2</v>
      </c>
      <c r="D1" s="3" t="s">
        <v>39</v>
      </c>
      <c r="E1" s="3">
        <v>2</v>
      </c>
      <c r="F1" s="3">
        <v>5</v>
      </c>
      <c r="G1" s="3">
        <v>7</v>
      </c>
      <c r="H1" s="3">
        <v>9</v>
      </c>
      <c r="I1" s="3">
        <v>12</v>
      </c>
      <c r="J1" s="3">
        <v>14</v>
      </c>
      <c r="K1" s="3">
        <v>20</v>
      </c>
      <c r="L1" s="3">
        <v>21</v>
      </c>
      <c r="M1" s="3">
        <v>23</v>
      </c>
      <c r="N1" s="3">
        <v>26</v>
      </c>
      <c r="O1" s="3" t="s">
        <v>40</v>
      </c>
      <c r="P1" s="3" t="s">
        <v>3</v>
      </c>
      <c r="Q1" s="3" t="s">
        <v>4</v>
      </c>
      <c r="R1" s="3" t="s">
        <v>5</v>
      </c>
      <c r="S1" s="3" t="s">
        <v>41</v>
      </c>
      <c r="T1" s="3" t="s">
        <v>42</v>
      </c>
    </row>
    <row r="2" spans="1:20" x14ac:dyDescent="0.2">
      <c r="A2" t="s">
        <v>10</v>
      </c>
      <c r="B2" t="s">
        <v>11</v>
      </c>
      <c r="C2" t="s">
        <v>43</v>
      </c>
      <c r="D2" t="s">
        <v>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45</v>
      </c>
      <c r="P2" t="s">
        <v>46</v>
      </c>
      <c r="Q2" t="s">
        <v>47</v>
      </c>
      <c r="R2" t="s">
        <v>46</v>
      </c>
      <c r="S2" t="s">
        <v>47</v>
      </c>
      <c r="T2" t="s">
        <v>47</v>
      </c>
    </row>
    <row r="3" spans="1:20" x14ac:dyDescent="0.2">
      <c r="A3" t="s">
        <v>10</v>
      </c>
      <c r="B3" t="s">
        <v>11</v>
      </c>
      <c r="C3" t="s">
        <v>48</v>
      </c>
      <c r="D3" t="s">
        <v>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2</v>
      </c>
      <c r="M3">
        <v>2</v>
      </c>
      <c r="N3">
        <v>1</v>
      </c>
      <c r="O3" t="s">
        <v>45</v>
      </c>
      <c r="P3" t="s">
        <v>46</v>
      </c>
      <c r="Q3" t="s">
        <v>50</v>
      </c>
      <c r="R3" t="s">
        <v>51</v>
      </c>
      <c r="S3" t="s">
        <v>46</v>
      </c>
      <c r="T3" t="s">
        <v>52</v>
      </c>
    </row>
    <row r="4" spans="1:20" x14ac:dyDescent="0.2">
      <c r="A4" t="s">
        <v>10</v>
      </c>
      <c r="B4" t="s">
        <v>11</v>
      </c>
      <c r="C4" t="s">
        <v>53</v>
      </c>
      <c r="D4" t="s">
        <v>54</v>
      </c>
      <c r="E4">
        <v>0</v>
      </c>
      <c r="F4">
        <v>0</v>
      </c>
      <c r="G4">
        <v>0</v>
      </c>
      <c r="H4">
        <v>0</v>
      </c>
      <c r="I4">
        <v>4</v>
      </c>
      <c r="J4">
        <v>8</v>
      </c>
      <c r="K4">
        <v>0</v>
      </c>
      <c r="L4">
        <v>0</v>
      </c>
      <c r="M4">
        <v>0</v>
      </c>
      <c r="N4">
        <v>0</v>
      </c>
      <c r="O4" t="s">
        <v>45</v>
      </c>
      <c r="P4" t="s">
        <v>46</v>
      </c>
      <c r="Q4" t="s">
        <v>55</v>
      </c>
      <c r="R4" t="s">
        <v>56</v>
      </c>
      <c r="S4" t="s">
        <v>57</v>
      </c>
      <c r="T4" t="s">
        <v>54</v>
      </c>
    </row>
    <row r="5" spans="1:20" x14ac:dyDescent="0.2">
      <c r="A5" t="s">
        <v>10</v>
      </c>
      <c r="B5" t="s">
        <v>11</v>
      </c>
      <c r="C5" t="s">
        <v>58</v>
      </c>
      <c r="D5" t="s">
        <v>59</v>
      </c>
      <c r="E5">
        <v>0</v>
      </c>
      <c r="F5">
        <v>0</v>
      </c>
      <c r="G5">
        <v>0</v>
      </c>
      <c r="H5">
        <v>11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 t="s">
        <v>45</v>
      </c>
      <c r="P5" t="s">
        <v>46</v>
      </c>
      <c r="Q5" t="s">
        <v>43</v>
      </c>
      <c r="R5" t="s">
        <v>60</v>
      </c>
      <c r="S5" t="s">
        <v>51</v>
      </c>
      <c r="T5" t="s">
        <v>57</v>
      </c>
    </row>
    <row r="6" spans="1:20" x14ac:dyDescent="0.2">
      <c r="A6" t="s">
        <v>10</v>
      </c>
      <c r="B6" t="s">
        <v>11</v>
      </c>
      <c r="C6" t="s">
        <v>61</v>
      </c>
      <c r="D6" t="s">
        <v>46</v>
      </c>
      <c r="E6">
        <v>0</v>
      </c>
      <c r="F6">
        <v>0</v>
      </c>
      <c r="G6">
        <v>16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45</v>
      </c>
      <c r="P6" t="s">
        <v>46</v>
      </c>
      <c r="Q6" t="s">
        <v>43</v>
      </c>
      <c r="R6" t="s">
        <v>60</v>
      </c>
      <c r="S6" t="s">
        <v>55</v>
      </c>
      <c r="T6" t="s">
        <v>51</v>
      </c>
    </row>
    <row r="7" spans="1:20" x14ac:dyDescent="0.2">
      <c r="A7" t="s">
        <v>10</v>
      </c>
      <c r="B7" t="s">
        <v>11</v>
      </c>
      <c r="C7" t="s">
        <v>44</v>
      </c>
      <c r="D7" t="s">
        <v>62</v>
      </c>
      <c r="E7">
        <v>0</v>
      </c>
      <c r="F7">
        <v>10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45</v>
      </c>
      <c r="P7" t="s">
        <v>46</v>
      </c>
      <c r="Q7" t="s">
        <v>53</v>
      </c>
      <c r="R7" t="s">
        <v>59</v>
      </c>
      <c r="S7" t="s">
        <v>61</v>
      </c>
      <c r="T7" t="s">
        <v>55</v>
      </c>
    </row>
    <row r="8" spans="1:20" x14ac:dyDescent="0.2">
      <c r="A8" t="s">
        <v>10</v>
      </c>
      <c r="B8" t="s">
        <v>11</v>
      </c>
      <c r="C8" t="s">
        <v>55</v>
      </c>
      <c r="D8" t="s">
        <v>52</v>
      </c>
      <c r="E8">
        <v>0</v>
      </c>
      <c r="F8">
        <v>17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45</v>
      </c>
      <c r="P8" t="s">
        <v>46</v>
      </c>
      <c r="Q8" t="s">
        <v>47</v>
      </c>
      <c r="R8" t="s">
        <v>46</v>
      </c>
      <c r="S8" t="s">
        <v>61</v>
      </c>
      <c r="T8" t="s">
        <v>55</v>
      </c>
    </row>
    <row r="9" spans="1:20" x14ac:dyDescent="0.2">
      <c r="A9" t="s">
        <v>10</v>
      </c>
      <c r="B9" t="s">
        <v>11</v>
      </c>
      <c r="C9" t="s">
        <v>63</v>
      </c>
      <c r="D9" t="s">
        <v>64</v>
      </c>
      <c r="E9">
        <v>0</v>
      </c>
      <c r="F9">
        <v>11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45</v>
      </c>
      <c r="P9" t="s">
        <v>46</v>
      </c>
      <c r="Q9" t="s">
        <v>43</v>
      </c>
      <c r="R9" t="s">
        <v>60</v>
      </c>
      <c r="S9" t="s">
        <v>61</v>
      </c>
      <c r="T9" t="s">
        <v>61</v>
      </c>
    </row>
    <row r="10" spans="1:20" x14ac:dyDescent="0.2">
      <c r="A10" t="s">
        <v>10</v>
      </c>
      <c r="B10" t="s">
        <v>11</v>
      </c>
      <c r="C10" t="s">
        <v>51</v>
      </c>
      <c r="D10" t="s">
        <v>65</v>
      </c>
      <c r="E10">
        <v>0</v>
      </c>
      <c r="F10">
        <v>9</v>
      </c>
      <c r="G10">
        <v>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45</v>
      </c>
      <c r="P10" t="s">
        <v>46</v>
      </c>
      <c r="Q10" t="s">
        <v>47</v>
      </c>
      <c r="R10" t="s">
        <v>46</v>
      </c>
      <c r="S10" t="s">
        <v>61</v>
      </c>
      <c r="T10" t="s">
        <v>55</v>
      </c>
    </row>
    <row r="11" spans="1:20" x14ac:dyDescent="0.2">
      <c r="A11" t="s">
        <v>10</v>
      </c>
      <c r="B11" t="s">
        <v>11</v>
      </c>
      <c r="C11" t="s">
        <v>49</v>
      </c>
      <c r="D11" t="s">
        <v>66</v>
      </c>
      <c r="E11">
        <v>0</v>
      </c>
      <c r="F11">
        <v>0</v>
      </c>
      <c r="G11">
        <v>11</v>
      </c>
      <c r="H11">
        <v>1</v>
      </c>
      <c r="I11">
        <v>2</v>
      </c>
      <c r="J11">
        <v>1</v>
      </c>
      <c r="K11">
        <v>0</v>
      </c>
      <c r="L11">
        <v>0</v>
      </c>
      <c r="M11">
        <v>0</v>
      </c>
      <c r="N11">
        <v>0</v>
      </c>
      <c r="O11" t="s">
        <v>45</v>
      </c>
      <c r="P11" t="s">
        <v>46</v>
      </c>
      <c r="Q11" t="s">
        <v>47</v>
      </c>
      <c r="R11" t="s">
        <v>46</v>
      </c>
      <c r="S11" t="s">
        <v>55</v>
      </c>
      <c r="T11" t="s">
        <v>54</v>
      </c>
    </row>
    <row r="12" spans="1:20" x14ac:dyDescent="0.2">
      <c r="A12" t="s">
        <v>10</v>
      </c>
      <c r="B12" t="s">
        <v>22</v>
      </c>
      <c r="C12" t="s">
        <v>43</v>
      </c>
      <c r="D12" t="s">
        <v>44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45</v>
      </c>
      <c r="P12" t="s">
        <v>46</v>
      </c>
      <c r="Q12" t="s">
        <v>47</v>
      </c>
      <c r="R12" t="s">
        <v>46</v>
      </c>
      <c r="S12" t="s">
        <v>47</v>
      </c>
      <c r="T12" t="s">
        <v>47</v>
      </c>
    </row>
    <row r="13" spans="1:20" x14ac:dyDescent="0.2">
      <c r="A13" t="s">
        <v>10</v>
      </c>
      <c r="B13" t="s">
        <v>22</v>
      </c>
      <c r="C13" t="s">
        <v>48</v>
      </c>
      <c r="D13" t="s">
        <v>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  <c r="M13">
        <v>3</v>
      </c>
      <c r="N13">
        <v>1</v>
      </c>
      <c r="O13" t="s">
        <v>45</v>
      </c>
      <c r="P13" t="s">
        <v>46</v>
      </c>
      <c r="Q13" t="s">
        <v>47</v>
      </c>
      <c r="R13" t="s">
        <v>46</v>
      </c>
      <c r="S13" t="s">
        <v>67</v>
      </c>
      <c r="T13" t="s">
        <v>52</v>
      </c>
    </row>
    <row r="14" spans="1:20" x14ac:dyDescent="0.2">
      <c r="A14" t="s">
        <v>10</v>
      </c>
      <c r="B14" t="s">
        <v>22</v>
      </c>
      <c r="C14" t="s">
        <v>53</v>
      </c>
      <c r="D14" t="s">
        <v>54</v>
      </c>
      <c r="E14">
        <v>0</v>
      </c>
      <c r="F14">
        <v>0</v>
      </c>
      <c r="G14">
        <v>0</v>
      </c>
      <c r="H14">
        <v>0</v>
      </c>
      <c r="I14">
        <v>1</v>
      </c>
      <c r="J14">
        <v>4</v>
      </c>
      <c r="K14">
        <v>10</v>
      </c>
      <c r="L14">
        <v>0</v>
      </c>
      <c r="M14">
        <v>0</v>
      </c>
      <c r="N14">
        <v>0</v>
      </c>
      <c r="O14" t="s">
        <v>45</v>
      </c>
      <c r="P14" t="s">
        <v>46</v>
      </c>
      <c r="Q14" t="s">
        <v>47</v>
      </c>
      <c r="R14" t="s">
        <v>46</v>
      </c>
      <c r="S14" t="s">
        <v>57</v>
      </c>
      <c r="T14" t="s">
        <v>46</v>
      </c>
    </row>
    <row r="15" spans="1:20" x14ac:dyDescent="0.2">
      <c r="A15" t="s">
        <v>10</v>
      </c>
      <c r="B15" t="s">
        <v>22</v>
      </c>
      <c r="C15" t="s">
        <v>58</v>
      </c>
      <c r="D15" t="s">
        <v>59</v>
      </c>
      <c r="E15">
        <v>0</v>
      </c>
      <c r="F15">
        <v>0</v>
      </c>
      <c r="G15">
        <v>0</v>
      </c>
      <c r="H15">
        <v>8</v>
      </c>
      <c r="I15">
        <v>9</v>
      </c>
      <c r="J15">
        <v>1</v>
      </c>
      <c r="K15">
        <v>0</v>
      </c>
      <c r="L15">
        <v>0</v>
      </c>
      <c r="M15">
        <v>0</v>
      </c>
      <c r="N15">
        <v>0</v>
      </c>
      <c r="O15" t="s">
        <v>45</v>
      </c>
      <c r="P15" t="s">
        <v>46</v>
      </c>
      <c r="Q15" t="s">
        <v>47</v>
      </c>
      <c r="R15" t="s">
        <v>46</v>
      </c>
      <c r="S15" t="s">
        <v>51</v>
      </c>
      <c r="T15" t="s">
        <v>54</v>
      </c>
    </row>
    <row r="16" spans="1:20" x14ac:dyDescent="0.2">
      <c r="A16" t="s">
        <v>10</v>
      </c>
      <c r="B16" t="s">
        <v>22</v>
      </c>
      <c r="C16" t="s">
        <v>61</v>
      </c>
      <c r="D16" t="s">
        <v>46</v>
      </c>
      <c r="E16">
        <v>0</v>
      </c>
      <c r="F16">
        <v>0</v>
      </c>
      <c r="G16">
        <v>13</v>
      </c>
      <c r="H16">
        <v>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45</v>
      </c>
      <c r="P16" t="s">
        <v>46</v>
      </c>
      <c r="Q16" t="s">
        <v>43</v>
      </c>
      <c r="R16" t="s">
        <v>60</v>
      </c>
      <c r="S16" t="s">
        <v>55</v>
      </c>
      <c r="T16" t="s">
        <v>51</v>
      </c>
    </row>
    <row r="17" spans="1:20" x14ac:dyDescent="0.2">
      <c r="A17" t="s">
        <v>10</v>
      </c>
      <c r="B17" t="s">
        <v>22</v>
      </c>
      <c r="C17" t="s">
        <v>44</v>
      </c>
      <c r="D17" t="s">
        <v>62</v>
      </c>
      <c r="E17">
        <v>0</v>
      </c>
      <c r="F17">
        <v>7</v>
      </c>
      <c r="G17">
        <v>8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 t="s">
        <v>45</v>
      </c>
      <c r="P17" t="s">
        <v>46</v>
      </c>
      <c r="Q17" t="s">
        <v>47</v>
      </c>
      <c r="R17" t="s">
        <v>46</v>
      </c>
      <c r="S17" t="s">
        <v>61</v>
      </c>
      <c r="T17" t="s">
        <v>54</v>
      </c>
    </row>
    <row r="18" spans="1:20" x14ac:dyDescent="0.2">
      <c r="A18" t="s">
        <v>10</v>
      </c>
      <c r="B18" t="s">
        <v>22</v>
      </c>
      <c r="C18" t="s">
        <v>55</v>
      </c>
      <c r="D18" t="s">
        <v>52</v>
      </c>
      <c r="E18">
        <v>0</v>
      </c>
      <c r="F18">
        <v>12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45</v>
      </c>
      <c r="P18" t="s">
        <v>46</v>
      </c>
      <c r="Q18" t="s">
        <v>47</v>
      </c>
      <c r="R18" t="s">
        <v>46</v>
      </c>
      <c r="S18" t="s">
        <v>58</v>
      </c>
      <c r="T18" t="s">
        <v>55</v>
      </c>
    </row>
    <row r="19" spans="1:20" x14ac:dyDescent="0.2">
      <c r="A19" t="s">
        <v>10</v>
      </c>
      <c r="B19" t="s">
        <v>22</v>
      </c>
      <c r="C19" t="s">
        <v>63</v>
      </c>
      <c r="D19" t="s">
        <v>64</v>
      </c>
      <c r="E19">
        <v>0</v>
      </c>
      <c r="F19">
        <v>12</v>
      </c>
      <c r="G19">
        <v>2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45</v>
      </c>
      <c r="P19" t="s">
        <v>46</v>
      </c>
      <c r="Q19" t="s">
        <v>47</v>
      </c>
      <c r="R19" t="s">
        <v>46</v>
      </c>
      <c r="S19" t="s">
        <v>61</v>
      </c>
      <c r="T19" t="s">
        <v>51</v>
      </c>
    </row>
    <row r="20" spans="1:20" x14ac:dyDescent="0.2">
      <c r="A20" t="s">
        <v>10</v>
      </c>
      <c r="B20" t="s">
        <v>22</v>
      </c>
      <c r="C20" t="s">
        <v>51</v>
      </c>
      <c r="D20" t="s">
        <v>65</v>
      </c>
      <c r="E20">
        <v>0</v>
      </c>
      <c r="F20">
        <v>13</v>
      </c>
      <c r="G20">
        <v>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45</v>
      </c>
      <c r="P20" t="s">
        <v>46</v>
      </c>
      <c r="Q20" t="s">
        <v>47</v>
      </c>
      <c r="R20" t="s">
        <v>46</v>
      </c>
      <c r="S20" t="s">
        <v>61</v>
      </c>
      <c r="T20" t="s">
        <v>55</v>
      </c>
    </row>
    <row r="21" spans="1:20" x14ac:dyDescent="0.2">
      <c r="A21" t="s">
        <v>10</v>
      </c>
      <c r="B21" t="s">
        <v>22</v>
      </c>
      <c r="C21" t="s">
        <v>49</v>
      </c>
      <c r="D21" t="s">
        <v>66</v>
      </c>
      <c r="E21">
        <v>0</v>
      </c>
      <c r="F21">
        <v>0</v>
      </c>
      <c r="G21">
        <v>1</v>
      </c>
      <c r="H21">
        <v>3</v>
      </c>
      <c r="I21">
        <v>6</v>
      </c>
      <c r="J21">
        <v>2</v>
      </c>
      <c r="K21">
        <v>4</v>
      </c>
      <c r="L21">
        <v>0</v>
      </c>
      <c r="M21">
        <v>0</v>
      </c>
      <c r="N21">
        <v>0</v>
      </c>
      <c r="O21" t="s">
        <v>45</v>
      </c>
      <c r="P21" t="s">
        <v>46</v>
      </c>
      <c r="Q21" t="s">
        <v>47</v>
      </c>
      <c r="R21" t="s">
        <v>46</v>
      </c>
      <c r="S21" t="s">
        <v>55</v>
      </c>
      <c r="T21" t="s">
        <v>46</v>
      </c>
    </row>
    <row r="22" spans="1:20" x14ac:dyDescent="0.2">
      <c r="A22" t="s">
        <v>10</v>
      </c>
      <c r="B22" t="s">
        <v>29</v>
      </c>
      <c r="C22" t="s">
        <v>43</v>
      </c>
      <c r="D22" t="s">
        <v>44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45</v>
      </c>
      <c r="P22" t="s">
        <v>46</v>
      </c>
      <c r="Q22" t="s">
        <v>47</v>
      </c>
      <c r="R22" t="s">
        <v>46</v>
      </c>
      <c r="S22" t="s">
        <v>47</v>
      </c>
      <c r="T22" t="s">
        <v>47</v>
      </c>
    </row>
    <row r="23" spans="1:20" x14ac:dyDescent="0.2">
      <c r="A23" t="s">
        <v>10</v>
      </c>
      <c r="B23" t="s">
        <v>29</v>
      </c>
      <c r="C23" t="s">
        <v>48</v>
      </c>
      <c r="D23" t="s">
        <v>49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11</v>
      </c>
      <c r="O23" t="s">
        <v>45</v>
      </c>
      <c r="P23" t="s">
        <v>46</v>
      </c>
      <c r="Q23" t="s">
        <v>47</v>
      </c>
      <c r="R23" t="s">
        <v>46</v>
      </c>
      <c r="S23" t="s">
        <v>46</v>
      </c>
      <c r="T23" t="s">
        <v>52</v>
      </c>
    </row>
    <row r="24" spans="1:20" x14ac:dyDescent="0.2">
      <c r="A24" t="s">
        <v>10</v>
      </c>
      <c r="B24" t="s">
        <v>29</v>
      </c>
      <c r="C24" t="s">
        <v>53</v>
      </c>
      <c r="D24" t="s">
        <v>54</v>
      </c>
      <c r="E24">
        <v>0</v>
      </c>
      <c r="F24">
        <v>0</v>
      </c>
      <c r="G24">
        <v>0</v>
      </c>
      <c r="H24">
        <v>0</v>
      </c>
      <c r="I24">
        <v>1</v>
      </c>
      <c r="J24">
        <v>8</v>
      </c>
      <c r="K24">
        <v>8</v>
      </c>
      <c r="L24">
        <v>0</v>
      </c>
      <c r="M24">
        <v>0</v>
      </c>
      <c r="N24">
        <v>0</v>
      </c>
      <c r="O24" t="s">
        <v>45</v>
      </c>
      <c r="P24" t="s">
        <v>46</v>
      </c>
      <c r="Q24" t="s">
        <v>47</v>
      </c>
      <c r="R24" t="s">
        <v>46</v>
      </c>
      <c r="S24" t="s">
        <v>57</v>
      </c>
      <c r="T24" t="s">
        <v>46</v>
      </c>
    </row>
    <row r="25" spans="1:20" x14ac:dyDescent="0.2">
      <c r="A25" t="s">
        <v>10</v>
      </c>
      <c r="B25" t="s">
        <v>29</v>
      </c>
      <c r="C25" t="s">
        <v>58</v>
      </c>
      <c r="D25" t="s">
        <v>59</v>
      </c>
      <c r="E25">
        <v>0</v>
      </c>
      <c r="F25">
        <v>0</v>
      </c>
      <c r="G25">
        <v>0</v>
      </c>
      <c r="H25">
        <v>7</v>
      </c>
      <c r="I25">
        <v>12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45</v>
      </c>
      <c r="P25" t="s">
        <v>46</v>
      </c>
      <c r="Q25" t="s">
        <v>47</v>
      </c>
      <c r="R25" t="s">
        <v>46</v>
      </c>
      <c r="S25" t="s">
        <v>51</v>
      </c>
      <c r="T25" t="s">
        <v>57</v>
      </c>
    </row>
    <row r="26" spans="1:20" x14ac:dyDescent="0.2">
      <c r="A26" t="s">
        <v>10</v>
      </c>
      <c r="B26" t="s">
        <v>29</v>
      </c>
      <c r="C26" t="s">
        <v>61</v>
      </c>
      <c r="D26" t="s">
        <v>46</v>
      </c>
      <c r="E26">
        <v>0</v>
      </c>
      <c r="F26">
        <v>0</v>
      </c>
      <c r="G26">
        <v>11</v>
      </c>
      <c r="H26">
        <v>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45</v>
      </c>
      <c r="P26" t="s">
        <v>46</v>
      </c>
      <c r="Q26" t="s">
        <v>47</v>
      </c>
      <c r="R26" t="s">
        <v>46</v>
      </c>
      <c r="S26" t="s">
        <v>55</v>
      </c>
      <c r="T26" t="s">
        <v>51</v>
      </c>
    </row>
    <row r="27" spans="1:20" x14ac:dyDescent="0.2">
      <c r="A27" t="s">
        <v>10</v>
      </c>
      <c r="B27" t="s">
        <v>29</v>
      </c>
      <c r="C27" t="s">
        <v>44</v>
      </c>
      <c r="D27" t="s">
        <v>62</v>
      </c>
      <c r="E27">
        <v>0</v>
      </c>
      <c r="F27">
        <v>13</v>
      </c>
      <c r="G27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45</v>
      </c>
      <c r="P27" t="s">
        <v>46</v>
      </c>
      <c r="Q27" t="s">
        <v>47</v>
      </c>
      <c r="R27" t="s">
        <v>46</v>
      </c>
      <c r="S27" t="s">
        <v>61</v>
      </c>
      <c r="T27" t="s">
        <v>55</v>
      </c>
    </row>
    <row r="28" spans="1:20" x14ac:dyDescent="0.2">
      <c r="A28" t="s">
        <v>10</v>
      </c>
      <c r="B28" t="s">
        <v>29</v>
      </c>
      <c r="C28" t="s">
        <v>55</v>
      </c>
      <c r="D28" t="s">
        <v>52</v>
      </c>
      <c r="E28">
        <v>0</v>
      </c>
      <c r="F28">
        <v>16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45</v>
      </c>
      <c r="P28" t="s">
        <v>46</v>
      </c>
      <c r="Q28" t="s">
        <v>47</v>
      </c>
      <c r="R28" t="s">
        <v>46</v>
      </c>
      <c r="S28" t="s">
        <v>61</v>
      </c>
      <c r="T28" t="s">
        <v>61</v>
      </c>
    </row>
    <row r="29" spans="1:20" x14ac:dyDescent="0.2">
      <c r="A29" t="s">
        <v>10</v>
      </c>
      <c r="B29" t="s">
        <v>29</v>
      </c>
      <c r="C29" t="s">
        <v>63</v>
      </c>
      <c r="D29" t="s">
        <v>64</v>
      </c>
      <c r="E29">
        <v>0</v>
      </c>
      <c r="F29">
        <v>14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45</v>
      </c>
      <c r="P29" t="s">
        <v>46</v>
      </c>
      <c r="Q29" t="s">
        <v>47</v>
      </c>
      <c r="R29" t="s">
        <v>46</v>
      </c>
      <c r="S29" t="s">
        <v>61</v>
      </c>
      <c r="T29" t="s">
        <v>61</v>
      </c>
    </row>
    <row r="30" spans="1:20" x14ac:dyDescent="0.2">
      <c r="A30" t="s">
        <v>10</v>
      </c>
      <c r="B30" t="s">
        <v>29</v>
      </c>
      <c r="C30" t="s">
        <v>51</v>
      </c>
      <c r="D30" t="s">
        <v>65</v>
      </c>
      <c r="E30">
        <v>0</v>
      </c>
      <c r="F30">
        <v>8</v>
      </c>
      <c r="G30">
        <v>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45</v>
      </c>
      <c r="P30" t="s">
        <v>46</v>
      </c>
      <c r="Q30" t="s">
        <v>47</v>
      </c>
      <c r="R30" t="s">
        <v>46</v>
      </c>
      <c r="S30" t="s">
        <v>61</v>
      </c>
      <c r="T30" t="s">
        <v>55</v>
      </c>
    </row>
    <row r="31" spans="1:20" x14ac:dyDescent="0.2">
      <c r="A31" t="s">
        <v>10</v>
      </c>
      <c r="B31" t="s">
        <v>29</v>
      </c>
      <c r="C31" t="s">
        <v>49</v>
      </c>
      <c r="D31" t="s">
        <v>66</v>
      </c>
      <c r="E31">
        <v>0</v>
      </c>
      <c r="F31">
        <v>0</v>
      </c>
      <c r="G31">
        <v>12</v>
      </c>
      <c r="H31">
        <v>3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45</v>
      </c>
      <c r="P31" t="s">
        <v>46</v>
      </c>
      <c r="Q31" t="s">
        <v>47</v>
      </c>
      <c r="R31" t="s">
        <v>46</v>
      </c>
      <c r="S31" t="s">
        <v>55</v>
      </c>
      <c r="T31" t="s">
        <v>57</v>
      </c>
    </row>
    <row r="32" spans="1:20" x14ac:dyDescent="0.2">
      <c r="A32" t="s">
        <v>33</v>
      </c>
      <c r="B32" t="s">
        <v>34</v>
      </c>
      <c r="C32" t="s">
        <v>43</v>
      </c>
      <c r="D32" t="s">
        <v>44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45</v>
      </c>
      <c r="P32" t="s">
        <v>46</v>
      </c>
      <c r="Q32" t="s">
        <v>47</v>
      </c>
      <c r="R32" t="s">
        <v>46</v>
      </c>
      <c r="S32" t="s">
        <v>47</v>
      </c>
      <c r="T32" t="s">
        <v>47</v>
      </c>
    </row>
    <row r="33" spans="1:20" x14ac:dyDescent="0.2">
      <c r="A33" t="s">
        <v>33</v>
      </c>
      <c r="B33" t="s">
        <v>34</v>
      </c>
      <c r="C33" t="s">
        <v>48</v>
      </c>
      <c r="D33" t="s">
        <v>49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3</v>
      </c>
      <c r="N33">
        <v>5</v>
      </c>
      <c r="O33" t="s">
        <v>45</v>
      </c>
      <c r="P33" t="s">
        <v>46</v>
      </c>
      <c r="Q33" t="s">
        <v>47</v>
      </c>
      <c r="R33" t="s">
        <v>46</v>
      </c>
      <c r="S33" t="s">
        <v>46</v>
      </c>
      <c r="T33" t="s">
        <v>52</v>
      </c>
    </row>
    <row r="34" spans="1:20" x14ac:dyDescent="0.2">
      <c r="A34" t="s">
        <v>33</v>
      </c>
      <c r="B34" t="s">
        <v>34</v>
      </c>
      <c r="C34" t="s">
        <v>53</v>
      </c>
      <c r="D34" t="s">
        <v>54</v>
      </c>
      <c r="E34">
        <v>0</v>
      </c>
      <c r="F34">
        <v>0</v>
      </c>
      <c r="G34">
        <v>0</v>
      </c>
      <c r="H34">
        <v>0</v>
      </c>
      <c r="I34">
        <v>5</v>
      </c>
      <c r="J34">
        <v>4</v>
      </c>
      <c r="K34">
        <v>7</v>
      </c>
      <c r="L34">
        <v>0</v>
      </c>
      <c r="M34">
        <v>0</v>
      </c>
      <c r="N34">
        <v>0</v>
      </c>
      <c r="O34" t="s">
        <v>45</v>
      </c>
      <c r="P34" t="s">
        <v>46</v>
      </c>
      <c r="Q34" t="s">
        <v>47</v>
      </c>
      <c r="R34" t="s">
        <v>46</v>
      </c>
      <c r="S34" t="s">
        <v>57</v>
      </c>
      <c r="T34" t="s">
        <v>46</v>
      </c>
    </row>
    <row r="35" spans="1:20" x14ac:dyDescent="0.2">
      <c r="A35" t="s">
        <v>33</v>
      </c>
      <c r="B35" t="s">
        <v>34</v>
      </c>
      <c r="C35" t="s">
        <v>58</v>
      </c>
      <c r="D35" t="s">
        <v>59</v>
      </c>
      <c r="E35">
        <v>0</v>
      </c>
      <c r="F35">
        <v>0</v>
      </c>
      <c r="G35">
        <v>0</v>
      </c>
      <c r="H35">
        <v>4</v>
      </c>
      <c r="I35">
        <v>12</v>
      </c>
      <c r="J35">
        <v>0</v>
      </c>
      <c r="K35">
        <v>1</v>
      </c>
      <c r="L35">
        <v>0</v>
      </c>
      <c r="M35">
        <v>0</v>
      </c>
      <c r="N35">
        <v>0</v>
      </c>
      <c r="O35" t="s">
        <v>45</v>
      </c>
      <c r="P35" t="s">
        <v>46</v>
      </c>
      <c r="Q35" t="s">
        <v>47</v>
      </c>
      <c r="R35" t="s">
        <v>46</v>
      </c>
      <c r="S35" t="s">
        <v>51</v>
      </c>
      <c r="T35" t="s">
        <v>46</v>
      </c>
    </row>
    <row r="36" spans="1:20" x14ac:dyDescent="0.2">
      <c r="A36" t="s">
        <v>33</v>
      </c>
      <c r="B36" t="s">
        <v>34</v>
      </c>
      <c r="C36" t="s">
        <v>61</v>
      </c>
      <c r="D36" t="s">
        <v>46</v>
      </c>
      <c r="E36">
        <v>0</v>
      </c>
      <c r="F36">
        <v>0</v>
      </c>
      <c r="G36">
        <v>6</v>
      </c>
      <c r="H36">
        <v>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45</v>
      </c>
      <c r="P36" t="s">
        <v>46</v>
      </c>
      <c r="Q36" t="s">
        <v>47</v>
      </c>
      <c r="R36" t="s">
        <v>46</v>
      </c>
      <c r="S36" t="s">
        <v>55</v>
      </c>
      <c r="T36" t="s">
        <v>51</v>
      </c>
    </row>
    <row r="37" spans="1:20" x14ac:dyDescent="0.2">
      <c r="A37" t="s">
        <v>33</v>
      </c>
      <c r="B37" t="s">
        <v>34</v>
      </c>
      <c r="C37" t="s">
        <v>44</v>
      </c>
      <c r="D37" t="s">
        <v>62</v>
      </c>
      <c r="E37">
        <v>0</v>
      </c>
      <c r="F37">
        <v>4</v>
      </c>
      <c r="G37">
        <v>8</v>
      </c>
      <c r="H37">
        <v>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45</v>
      </c>
      <c r="P37" t="s">
        <v>46</v>
      </c>
      <c r="Q37" t="s">
        <v>47</v>
      </c>
      <c r="R37" t="s">
        <v>46</v>
      </c>
      <c r="S37" t="s">
        <v>61</v>
      </c>
      <c r="T37" t="s">
        <v>51</v>
      </c>
    </row>
    <row r="38" spans="1:20" x14ac:dyDescent="0.2">
      <c r="A38" t="s">
        <v>33</v>
      </c>
      <c r="B38" t="s">
        <v>34</v>
      </c>
      <c r="C38" t="s">
        <v>55</v>
      </c>
      <c r="D38" t="s">
        <v>52</v>
      </c>
      <c r="E38">
        <v>0</v>
      </c>
      <c r="F38">
        <v>10</v>
      </c>
      <c r="G38">
        <v>4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45</v>
      </c>
      <c r="P38" t="s">
        <v>46</v>
      </c>
      <c r="Q38" t="s">
        <v>47</v>
      </c>
      <c r="R38" t="s">
        <v>46</v>
      </c>
      <c r="S38" t="s">
        <v>61</v>
      </c>
      <c r="T38" t="s">
        <v>51</v>
      </c>
    </row>
    <row r="39" spans="1:20" x14ac:dyDescent="0.2">
      <c r="A39" t="s">
        <v>33</v>
      </c>
      <c r="B39" t="s">
        <v>34</v>
      </c>
      <c r="C39" t="s">
        <v>63</v>
      </c>
      <c r="D39" t="s">
        <v>64</v>
      </c>
      <c r="E39">
        <v>0</v>
      </c>
      <c r="F39">
        <v>3</v>
      </c>
      <c r="G39">
        <v>0</v>
      </c>
      <c r="H39">
        <v>0</v>
      </c>
      <c r="I39">
        <v>2</v>
      </c>
      <c r="J39">
        <v>10</v>
      </c>
      <c r="K39">
        <v>0</v>
      </c>
      <c r="L39">
        <v>0</v>
      </c>
      <c r="M39">
        <v>0</v>
      </c>
      <c r="N39">
        <v>1</v>
      </c>
      <c r="O39" t="s">
        <v>45</v>
      </c>
      <c r="P39" t="s">
        <v>46</v>
      </c>
      <c r="Q39" t="s">
        <v>47</v>
      </c>
      <c r="R39" t="s">
        <v>46</v>
      </c>
      <c r="S39" t="s">
        <v>61</v>
      </c>
      <c r="T39" t="s">
        <v>52</v>
      </c>
    </row>
    <row r="40" spans="1:20" x14ac:dyDescent="0.2">
      <c r="A40" t="s">
        <v>33</v>
      </c>
      <c r="B40" t="s">
        <v>34</v>
      </c>
      <c r="C40" t="s">
        <v>51</v>
      </c>
      <c r="D40" t="s">
        <v>65</v>
      </c>
      <c r="E40">
        <v>0</v>
      </c>
      <c r="F40">
        <v>7</v>
      </c>
      <c r="G40">
        <v>6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 t="s">
        <v>45</v>
      </c>
      <c r="P40" t="s">
        <v>46</v>
      </c>
      <c r="Q40" t="s">
        <v>47</v>
      </c>
      <c r="R40" t="s">
        <v>46</v>
      </c>
      <c r="S40" t="s">
        <v>61</v>
      </c>
      <c r="T40" t="s">
        <v>52</v>
      </c>
    </row>
    <row r="41" spans="1:20" x14ac:dyDescent="0.2">
      <c r="A41" t="s">
        <v>33</v>
      </c>
      <c r="B41" t="s">
        <v>34</v>
      </c>
      <c r="C41" t="s">
        <v>49</v>
      </c>
      <c r="D41" t="s">
        <v>66</v>
      </c>
      <c r="E41">
        <v>0</v>
      </c>
      <c r="F41">
        <v>2</v>
      </c>
      <c r="G41">
        <v>6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45</v>
      </c>
      <c r="P41" t="s">
        <v>46</v>
      </c>
      <c r="Q41" t="s">
        <v>47</v>
      </c>
      <c r="R41" t="s">
        <v>46</v>
      </c>
      <c r="S41" t="s">
        <v>61</v>
      </c>
      <c r="T41" t="s">
        <v>51</v>
      </c>
    </row>
    <row r="42" spans="1:20" x14ac:dyDescent="0.2">
      <c r="A42" t="s">
        <v>33</v>
      </c>
      <c r="B42" t="s">
        <v>35</v>
      </c>
      <c r="C42" t="s">
        <v>43</v>
      </c>
      <c r="D42" t="s">
        <v>44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45</v>
      </c>
      <c r="P42" t="s">
        <v>46</v>
      </c>
      <c r="Q42" t="s">
        <v>47</v>
      </c>
      <c r="R42" t="s">
        <v>46</v>
      </c>
      <c r="S42" t="s">
        <v>47</v>
      </c>
      <c r="T42" t="s">
        <v>47</v>
      </c>
    </row>
    <row r="43" spans="1:20" x14ac:dyDescent="0.2">
      <c r="A43" t="s">
        <v>33</v>
      </c>
      <c r="B43" t="s">
        <v>35</v>
      </c>
      <c r="C43" t="s">
        <v>48</v>
      </c>
      <c r="D43" t="s">
        <v>49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8</v>
      </c>
      <c r="L43">
        <v>2</v>
      </c>
      <c r="M43">
        <v>3</v>
      </c>
      <c r="N43">
        <v>5</v>
      </c>
      <c r="O43" t="s">
        <v>45</v>
      </c>
      <c r="P43" t="s">
        <v>46</v>
      </c>
      <c r="Q43" t="s">
        <v>47</v>
      </c>
      <c r="R43" t="s">
        <v>46</v>
      </c>
      <c r="S43" t="s">
        <v>46</v>
      </c>
      <c r="T43" t="s">
        <v>52</v>
      </c>
    </row>
    <row r="44" spans="1:20" x14ac:dyDescent="0.2">
      <c r="A44" t="s">
        <v>33</v>
      </c>
      <c r="B44" t="s">
        <v>35</v>
      </c>
      <c r="C44" t="s">
        <v>53</v>
      </c>
      <c r="D44" t="s">
        <v>54</v>
      </c>
      <c r="E44">
        <v>0</v>
      </c>
      <c r="F44">
        <v>0</v>
      </c>
      <c r="G44">
        <v>0</v>
      </c>
      <c r="H44">
        <v>0</v>
      </c>
      <c r="I44">
        <v>16</v>
      </c>
      <c r="J44">
        <v>2</v>
      </c>
      <c r="K44">
        <v>0</v>
      </c>
      <c r="L44">
        <v>0</v>
      </c>
      <c r="M44">
        <v>0</v>
      </c>
      <c r="N44">
        <v>0</v>
      </c>
      <c r="O44" t="s">
        <v>45</v>
      </c>
      <c r="P44" t="s">
        <v>46</v>
      </c>
      <c r="Q44" t="s">
        <v>47</v>
      </c>
      <c r="R44" t="s">
        <v>46</v>
      </c>
      <c r="S44" t="s">
        <v>57</v>
      </c>
      <c r="T44" t="s">
        <v>54</v>
      </c>
    </row>
    <row r="45" spans="1:20" x14ac:dyDescent="0.2">
      <c r="A45" t="s">
        <v>33</v>
      </c>
      <c r="B45" t="s">
        <v>35</v>
      </c>
      <c r="C45" t="s">
        <v>58</v>
      </c>
      <c r="D45" t="s">
        <v>59</v>
      </c>
      <c r="E45">
        <v>0</v>
      </c>
      <c r="F45">
        <v>0</v>
      </c>
      <c r="G45">
        <v>0</v>
      </c>
      <c r="H45">
        <v>9</v>
      </c>
      <c r="I45">
        <v>10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45</v>
      </c>
      <c r="P45" t="s">
        <v>46</v>
      </c>
      <c r="Q45" t="s">
        <v>47</v>
      </c>
      <c r="R45" t="s">
        <v>46</v>
      </c>
      <c r="S45" t="s">
        <v>51</v>
      </c>
      <c r="T45" t="s">
        <v>57</v>
      </c>
    </row>
    <row r="46" spans="1:20" x14ac:dyDescent="0.2">
      <c r="A46" t="s">
        <v>33</v>
      </c>
      <c r="B46" t="s">
        <v>35</v>
      </c>
      <c r="C46" t="s">
        <v>61</v>
      </c>
      <c r="D46" t="s">
        <v>46</v>
      </c>
      <c r="E46">
        <v>0</v>
      </c>
      <c r="F46">
        <v>0</v>
      </c>
      <c r="G46">
        <v>8</v>
      </c>
      <c r="H46">
        <v>6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45</v>
      </c>
      <c r="P46" t="s">
        <v>46</v>
      </c>
      <c r="Q46" t="s">
        <v>47</v>
      </c>
      <c r="R46" t="s">
        <v>46</v>
      </c>
      <c r="S46" t="s">
        <v>55</v>
      </c>
      <c r="T46" t="s">
        <v>57</v>
      </c>
    </row>
    <row r="47" spans="1:20" x14ac:dyDescent="0.2">
      <c r="A47" t="s">
        <v>33</v>
      </c>
      <c r="B47" t="s">
        <v>35</v>
      </c>
      <c r="C47" t="s">
        <v>44</v>
      </c>
      <c r="D47" t="s">
        <v>62</v>
      </c>
      <c r="E47">
        <v>0</v>
      </c>
      <c r="F47">
        <v>6</v>
      </c>
      <c r="G47">
        <v>7</v>
      </c>
      <c r="H47">
        <v>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45</v>
      </c>
      <c r="P47" t="s">
        <v>46</v>
      </c>
      <c r="Q47" t="s">
        <v>47</v>
      </c>
      <c r="R47" t="s">
        <v>46</v>
      </c>
      <c r="S47" t="s">
        <v>61</v>
      </c>
      <c r="T47" t="s">
        <v>51</v>
      </c>
    </row>
    <row r="48" spans="1:20" x14ac:dyDescent="0.2">
      <c r="A48" t="s">
        <v>33</v>
      </c>
      <c r="B48" t="s">
        <v>35</v>
      </c>
      <c r="C48" t="s">
        <v>55</v>
      </c>
      <c r="D48" t="s">
        <v>52</v>
      </c>
      <c r="E48">
        <v>0</v>
      </c>
      <c r="F48">
        <v>10</v>
      </c>
      <c r="G48">
        <v>3</v>
      </c>
      <c r="H48">
        <v>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45</v>
      </c>
      <c r="P48" t="s">
        <v>46</v>
      </c>
      <c r="Q48" t="s">
        <v>47</v>
      </c>
      <c r="R48" t="s">
        <v>46</v>
      </c>
      <c r="S48" t="s">
        <v>61</v>
      </c>
      <c r="T48" t="s">
        <v>51</v>
      </c>
    </row>
    <row r="49" spans="1:20" x14ac:dyDescent="0.2">
      <c r="A49" t="s">
        <v>33</v>
      </c>
      <c r="B49" t="s">
        <v>35</v>
      </c>
      <c r="C49" t="s">
        <v>63</v>
      </c>
      <c r="D49" t="s">
        <v>64</v>
      </c>
      <c r="E49">
        <v>0</v>
      </c>
      <c r="F49">
        <v>13</v>
      </c>
      <c r="G49">
        <v>3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45</v>
      </c>
      <c r="P49" t="s">
        <v>46</v>
      </c>
      <c r="Q49" t="s">
        <v>47</v>
      </c>
      <c r="R49" t="s">
        <v>46</v>
      </c>
      <c r="S49" t="s">
        <v>61</v>
      </c>
      <c r="T49" t="s">
        <v>57</v>
      </c>
    </row>
    <row r="50" spans="1:20" x14ac:dyDescent="0.2">
      <c r="A50" t="s">
        <v>33</v>
      </c>
      <c r="B50" t="s">
        <v>35</v>
      </c>
      <c r="C50" t="s">
        <v>51</v>
      </c>
      <c r="D50" t="s">
        <v>65</v>
      </c>
      <c r="E50">
        <v>0</v>
      </c>
      <c r="F50">
        <v>3</v>
      </c>
      <c r="G50">
        <v>10</v>
      </c>
      <c r="H50">
        <v>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45</v>
      </c>
      <c r="P50" t="s">
        <v>46</v>
      </c>
      <c r="Q50" t="s">
        <v>47</v>
      </c>
      <c r="R50" t="s">
        <v>46</v>
      </c>
      <c r="S50" t="s">
        <v>61</v>
      </c>
      <c r="T50" t="s">
        <v>51</v>
      </c>
    </row>
    <row r="51" spans="1:20" x14ac:dyDescent="0.2">
      <c r="A51" t="s">
        <v>33</v>
      </c>
      <c r="B51" t="s">
        <v>35</v>
      </c>
      <c r="C51" t="s">
        <v>49</v>
      </c>
      <c r="D51" t="s">
        <v>66</v>
      </c>
      <c r="E51">
        <v>0</v>
      </c>
      <c r="F51">
        <v>1</v>
      </c>
      <c r="G51">
        <v>6</v>
      </c>
      <c r="H51">
        <v>4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  <c r="O51" t="s">
        <v>45</v>
      </c>
      <c r="P51" t="s">
        <v>46</v>
      </c>
      <c r="Q51" t="s">
        <v>47</v>
      </c>
      <c r="R51" t="s">
        <v>46</v>
      </c>
      <c r="S51" t="s">
        <v>61</v>
      </c>
      <c r="T51" t="s">
        <v>46</v>
      </c>
    </row>
    <row r="52" spans="1:20" x14ac:dyDescent="0.2">
      <c r="A52" t="s">
        <v>33</v>
      </c>
      <c r="B52" t="s">
        <v>37</v>
      </c>
      <c r="C52" t="s">
        <v>43</v>
      </c>
      <c r="D52" t="s">
        <v>44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45</v>
      </c>
      <c r="P52" t="s">
        <v>46</v>
      </c>
      <c r="Q52" t="s">
        <v>47</v>
      </c>
      <c r="R52" t="s">
        <v>46</v>
      </c>
      <c r="S52" t="s">
        <v>47</v>
      </c>
      <c r="T52" t="s">
        <v>47</v>
      </c>
    </row>
    <row r="53" spans="1:20" x14ac:dyDescent="0.2">
      <c r="A53" t="s">
        <v>33</v>
      </c>
      <c r="B53" t="s">
        <v>37</v>
      </c>
      <c r="C53" t="s">
        <v>48</v>
      </c>
      <c r="D53" t="s">
        <v>49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</v>
      </c>
      <c r="L53">
        <v>2</v>
      </c>
      <c r="M53">
        <v>5</v>
      </c>
      <c r="N53">
        <v>6</v>
      </c>
      <c r="O53" t="s">
        <v>45</v>
      </c>
      <c r="P53" t="s">
        <v>46</v>
      </c>
      <c r="Q53" t="s">
        <v>47</v>
      </c>
      <c r="R53" t="s">
        <v>46</v>
      </c>
      <c r="S53" t="s">
        <v>46</v>
      </c>
      <c r="T53" t="s">
        <v>52</v>
      </c>
    </row>
    <row r="54" spans="1:20" x14ac:dyDescent="0.2">
      <c r="A54" t="s">
        <v>33</v>
      </c>
      <c r="B54" t="s">
        <v>37</v>
      </c>
      <c r="C54" t="s">
        <v>53</v>
      </c>
      <c r="D54" t="s">
        <v>54</v>
      </c>
      <c r="E54">
        <v>0</v>
      </c>
      <c r="F54">
        <v>0</v>
      </c>
      <c r="G54">
        <v>0</v>
      </c>
      <c r="H54">
        <v>0</v>
      </c>
      <c r="I54">
        <v>11</v>
      </c>
      <c r="J54">
        <v>4</v>
      </c>
      <c r="K54">
        <v>0</v>
      </c>
      <c r="L54">
        <v>0</v>
      </c>
      <c r="M54">
        <v>0</v>
      </c>
      <c r="N54">
        <v>0</v>
      </c>
      <c r="O54" t="s">
        <v>45</v>
      </c>
      <c r="P54" t="s">
        <v>46</v>
      </c>
      <c r="Q54" t="s">
        <v>47</v>
      </c>
      <c r="R54" t="s">
        <v>46</v>
      </c>
      <c r="S54" t="s">
        <v>57</v>
      </c>
      <c r="T54" t="s">
        <v>54</v>
      </c>
    </row>
    <row r="55" spans="1:20" x14ac:dyDescent="0.2">
      <c r="A55" t="s">
        <v>33</v>
      </c>
      <c r="B55" t="s">
        <v>37</v>
      </c>
      <c r="C55" t="s">
        <v>58</v>
      </c>
      <c r="D55" t="s">
        <v>59</v>
      </c>
      <c r="E55">
        <v>0</v>
      </c>
      <c r="F55">
        <v>0</v>
      </c>
      <c r="G55">
        <v>0</v>
      </c>
      <c r="H55">
        <v>14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45</v>
      </c>
      <c r="P55" t="s">
        <v>46</v>
      </c>
      <c r="Q55" t="s">
        <v>47</v>
      </c>
      <c r="R55" t="s">
        <v>46</v>
      </c>
      <c r="S55" t="s">
        <v>51</v>
      </c>
      <c r="T55" t="s">
        <v>57</v>
      </c>
    </row>
    <row r="56" spans="1:20" x14ac:dyDescent="0.2">
      <c r="A56" t="s">
        <v>33</v>
      </c>
      <c r="B56" t="s">
        <v>37</v>
      </c>
      <c r="C56" t="s">
        <v>61</v>
      </c>
      <c r="D56" t="s">
        <v>46</v>
      </c>
      <c r="E56">
        <v>0</v>
      </c>
      <c r="F56">
        <v>0</v>
      </c>
      <c r="G56">
        <v>16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45</v>
      </c>
      <c r="P56" t="s">
        <v>46</v>
      </c>
      <c r="Q56" t="s">
        <v>47</v>
      </c>
      <c r="R56" t="s">
        <v>46</v>
      </c>
      <c r="S56" t="s">
        <v>55</v>
      </c>
      <c r="T56" t="s">
        <v>55</v>
      </c>
    </row>
    <row r="57" spans="1:20" x14ac:dyDescent="0.2">
      <c r="A57" t="s">
        <v>33</v>
      </c>
      <c r="B57" t="s">
        <v>37</v>
      </c>
      <c r="C57" t="s">
        <v>44</v>
      </c>
      <c r="D57" t="s">
        <v>62</v>
      </c>
      <c r="E57">
        <v>0</v>
      </c>
      <c r="F57">
        <v>10</v>
      </c>
      <c r="G57">
        <v>4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45</v>
      </c>
      <c r="P57" t="s">
        <v>46</v>
      </c>
      <c r="Q57" t="s">
        <v>47</v>
      </c>
      <c r="R57" t="s">
        <v>46</v>
      </c>
      <c r="S57" t="s">
        <v>61</v>
      </c>
      <c r="T57" t="s">
        <v>57</v>
      </c>
    </row>
    <row r="58" spans="1:20" x14ac:dyDescent="0.2">
      <c r="A58" t="s">
        <v>33</v>
      </c>
      <c r="B58" t="s">
        <v>37</v>
      </c>
      <c r="C58" t="s">
        <v>55</v>
      </c>
      <c r="D58" t="s">
        <v>52</v>
      </c>
      <c r="E58">
        <v>0</v>
      </c>
      <c r="F58">
        <v>17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45</v>
      </c>
      <c r="P58" t="s">
        <v>46</v>
      </c>
      <c r="Q58" t="s">
        <v>47</v>
      </c>
      <c r="R58" t="s">
        <v>46</v>
      </c>
      <c r="S58" t="s">
        <v>61</v>
      </c>
      <c r="T58" t="s">
        <v>61</v>
      </c>
    </row>
    <row r="59" spans="1:20" x14ac:dyDescent="0.2">
      <c r="A59" t="s">
        <v>33</v>
      </c>
      <c r="B59" t="s">
        <v>37</v>
      </c>
      <c r="C59" t="s">
        <v>63</v>
      </c>
      <c r="D59" t="s">
        <v>64</v>
      </c>
      <c r="E59">
        <v>0</v>
      </c>
      <c r="F59">
        <v>14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45</v>
      </c>
      <c r="P59" t="s">
        <v>46</v>
      </c>
      <c r="Q59" t="s">
        <v>47</v>
      </c>
      <c r="R59" t="s">
        <v>46</v>
      </c>
      <c r="S59" t="s">
        <v>61</v>
      </c>
      <c r="T59" t="s">
        <v>51</v>
      </c>
    </row>
    <row r="60" spans="1:20" x14ac:dyDescent="0.2">
      <c r="A60" t="s">
        <v>33</v>
      </c>
      <c r="B60" t="s">
        <v>37</v>
      </c>
      <c r="C60" t="s">
        <v>51</v>
      </c>
      <c r="D60" t="s">
        <v>65</v>
      </c>
      <c r="E60">
        <v>0</v>
      </c>
      <c r="F60">
        <v>15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45</v>
      </c>
      <c r="P60" t="s">
        <v>46</v>
      </c>
      <c r="Q60" t="s">
        <v>47</v>
      </c>
      <c r="R60" t="s">
        <v>46</v>
      </c>
      <c r="S60" t="s">
        <v>61</v>
      </c>
      <c r="T60" t="s">
        <v>55</v>
      </c>
    </row>
    <row r="61" spans="1:20" x14ac:dyDescent="0.2">
      <c r="A61" t="s">
        <v>33</v>
      </c>
      <c r="B61" t="s">
        <v>37</v>
      </c>
      <c r="C61" t="s">
        <v>49</v>
      </c>
      <c r="D61" t="s">
        <v>66</v>
      </c>
      <c r="E61">
        <v>0</v>
      </c>
      <c r="F61">
        <v>0</v>
      </c>
      <c r="G61">
        <v>2</v>
      </c>
      <c r="H61">
        <v>5</v>
      </c>
      <c r="I61">
        <v>2</v>
      </c>
      <c r="J61">
        <v>1</v>
      </c>
      <c r="K61">
        <v>0</v>
      </c>
      <c r="L61">
        <v>0</v>
      </c>
      <c r="M61">
        <v>1</v>
      </c>
      <c r="N61">
        <v>0</v>
      </c>
      <c r="O61" t="s">
        <v>45</v>
      </c>
      <c r="P61" t="s">
        <v>46</v>
      </c>
      <c r="Q61" t="s">
        <v>47</v>
      </c>
      <c r="R61" t="s">
        <v>46</v>
      </c>
      <c r="S61" t="s">
        <v>55</v>
      </c>
      <c r="T61" t="s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17A8A8-706F-1A48-BCE2-B7BFD41C50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R_format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Felicity Charles</dc:creator>
  <cp:lastModifiedBy>Felicity Charles</cp:lastModifiedBy>
  <dcterms:created xsi:type="dcterms:W3CDTF">2024-10-03T09:16:58Z</dcterms:created>
  <dcterms:modified xsi:type="dcterms:W3CDTF">2024-10-03T09:19:03Z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2024-10-03T09:19:02Z</vt:lpwstr>
  </property>
  <property fmtid="{D5CDD505-2E9C-101B-9397-08002B2CF9AE}" pid="4" name="MSIP_Label_0f488380-630a-4f55-a077-a19445e3f360_Method">
    <vt:lpwstr>Privileged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1f0e250e-7d1b-4010-8fa2-d16d8ed05888</vt:lpwstr>
  </property>
  <property fmtid="{D5CDD505-2E9C-101B-9397-08002B2CF9AE}" pid="8" name="MSIP_Label_0f488380-630a-4f55-a077-a19445e3f360_ContentBits">
    <vt:lpwstr>0</vt:lpwstr>
  </property>
</Properties>
</file>