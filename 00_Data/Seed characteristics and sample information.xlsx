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590925\OneDrive - The University of Queensland\Desktop\GitHub\Allocasuarina_germfire\00_Data\"/>
    </mc:Choice>
  </mc:AlternateContent>
  <xr:revisionPtr revIDLastSave="0" documentId="13_ncr:1_{4EEB48A6-D81C-4BE6-926E-E4CABEBA4944}" xr6:coauthVersionLast="47" xr6:coauthVersionMax="47" xr10:uidLastSave="{00000000-0000-0000-0000-000000000000}"/>
  <bookViews>
    <workbookView xWindow="-110" yWindow="-110" windowWidth="38620" windowHeight="21100" firstSheet="1" activeTab="1" xr2:uid="{93EB2073-7E80-444E-8940-7FC65A3D1AE6}"/>
  </bookViews>
  <sheets>
    <sheet name="Seed_weights" sheetId="1" r:id="rId1"/>
    <sheet name="Seed_characteristics_sample_inf" sheetId="2" r:id="rId2"/>
    <sheet name="Cone_measurements" sheetId="3" r:id="rId3"/>
  </sheets>
  <definedNames>
    <definedName name="_xlnm._FilterDatabase" localSheetId="1" hidden="1">Seed_characteristics_sample_inf!$D$1:$D$118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42" i="3" l="1"/>
  <c r="B2042" i="3"/>
  <c r="C2023" i="3"/>
  <c r="B2023" i="3"/>
  <c r="C1997" i="3"/>
  <c r="B1997" i="3"/>
  <c r="C1991" i="3"/>
  <c r="B1991" i="3"/>
  <c r="C1967" i="3"/>
  <c r="B1967" i="3"/>
  <c r="C1948" i="3"/>
  <c r="B1948" i="3"/>
  <c r="C1922" i="3"/>
  <c r="B1922" i="3"/>
  <c r="C1914" i="3"/>
  <c r="B1914" i="3"/>
  <c r="C1898" i="3"/>
  <c r="B1898" i="3"/>
  <c r="C1888" i="3"/>
  <c r="B1888" i="3"/>
  <c r="C1879" i="3"/>
  <c r="B1879" i="3"/>
  <c r="C1866" i="3"/>
  <c r="B1866" i="3"/>
  <c r="C1856" i="3"/>
  <c r="B1856" i="3"/>
  <c r="C1848" i="3"/>
  <c r="B1848" i="3"/>
  <c r="C1839" i="3"/>
  <c r="B1839" i="3"/>
  <c r="C1831" i="3"/>
  <c r="B1831" i="3"/>
  <c r="C1824" i="3"/>
  <c r="B1824" i="3"/>
  <c r="C1809" i="3"/>
  <c r="B1809" i="3"/>
  <c r="C1781" i="3"/>
  <c r="B1781" i="3"/>
  <c r="C1739" i="3"/>
  <c r="B1739" i="3"/>
  <c r="C1715" i="3"/>
  <c r="B1715" i="3"/>
  <c r="C1704" i="3"/>
  <c r="B1704" i="3"/>
  <c r="C1680" i="3"/>
  <c r="B1680" i="3"/>
  <c r="C1667" i="3"/>
  <c r="B1667" i="3"/>
  <c r="C1630" i="3"/>
  <c r="B1630" i="3"/>
  <c r="C1614" i="3"/>
  <c r="B1614" i="3"/>
  <c r="C1604" i="3"/>
  <c r="B1604" i="3"/>
  <c r="C1596" i="3"/>
  <c r="B1596" i="3"/>
  <c r="C1587" i="3"/>
  <c r="B1587" i="3"/>
  <c r="C1574" i="3"/>
  <c r="B1574" i="3"/>
  <c r="C1551" i="3"/>
  <c r="B1551" i="3"/>
  <c r="C1539" i="3"/>
  <c r="B1539" i="3"/>
  <c r="C1516" i="3"/>
  <c r="B1516" i="3"/>
  <c r="C1498" i="3"/>
  <c r="B1498" i="3"/>
  <c r="C1471" i="3"/>
  <c r="B1471" i="3"/>
  <c r="C1445" i="3"/>
  <c r="B1445" i="3"/>
  <c r="C1427" i="3"/>
  <c r="B1427" i="3"/>
  <c r="C1418" i="3"/>
  <c r="B1418" i="3"/>
  <c r="C1399" i="3"/>
  <c r="B1399" i="3"/>
  <c r="C1376" i="3"/>
  <c r="B1376" i="3"/>
  <c r="C1363" i="3"/>
  <c r="B1363" i="3"/>
  <c r="C1344" i="3"/>
  <c r="B1344" i="3"/>
  <c r="C1328" i="3"/>
  <c r="B1328" i="3"/>
  <c r="C1309" i="3"/>
  <c r="B1309" i="3"/>
  <c r="C1302" i="3"/>
  <c r="B1302" i="3"/>
  <c r="C1293" i="3"/>
  <c r="B1293" i="3"/>
  <c r="C1261" i="3"/>
  <c r="B1261" i="3"/>
  <c r="C1235" i="3"/>
  <c r="B1235" i="3"/>
  <c r="C1222" i="3"/>
  <c r="B1222" i="3"/>
  <c r="C1208" i="3"/>
  <c r="B1208" i="3"/>
  <c r="C1183" i="3"/>
  <c r="B1183" i="3"/>
  <c r="C1169" i="3"/>
  <c r="B1169" i="3"/>
  <c r="C1147" i="3"/>
  <c r="B1147" i="3"/>
  <c r="C1134" i="3"/>
  <c r="B1134" i="3"/>
  <c r="C1113" i="3"/>
  <c r="B1113" i="3"/>
  <c r="C1103" i="3"/>
  <c r="B1103" i="3"/>
  <c r="C1085" i="3"/>
  <c r="B1085" i="3"/>
  <c r="C1064" i="3"/>
  <c r="B1064" i="3"/>
  <c r="C1057" i="3"/>
  <c r="B1057" i="3"/>
  <c r="C1047" i="3"/>
  <c r="B1047" i="3"/>
  <c r="C1040" i="3"/>
  <c r="B1040" i="3"/>
  <c r="C997" i="3"/>
  <c r="B997" i="3"/>
  <c r="C989" i="3"/>
  <c r="B989" i="3"/>
  <c r="C974" i="3"/>
  <c r="B974" i="3"/>
  <c r="C961" i="3"/>
  <c r="B961" i="3"/>
  <c r="C955" i="3"/>
  <c r="B955" i="3"/>
  <c r="C949" i="3"/>
  <c r="B949" i="3"/>
  <c r="C942" i="3"/>
  <c r="B942" i="3"/>
  <c r="C935" i="3"/>
  <c r="B935" i="3"/>
  <c r="C927" i="3"/>
  <c r="B927" i="3"/>
  <c r="C921" i="3"/>
  <c r="B921" i="3"/>
  <c r="C915" i="3"/>
  <c r="B915" i="3"/>
  <c r="C910" i="3"/>
  <c r="B910" i="3"/>
  <c r="C906" i="3"/>
  <c r="B906" i="3"/>
  <c r="C896" i="3"/>
  <c r="B896" i="3"/>
  <c r="C888" i="3"/>
  <c r="B888" i="3"/>
  <c r="C881" i="3"/>
  <c r="B881" i="3"/>
  <c r="C866" i="3"/>
  <c r="B866" i="3"/>
  <c r="C746" i="3"/>
  <c r="B746" i="3"/>
  <c r="C501" i="3"/>
  <c r="B501" i="3"/>
  <c r="C469" i="3"/>
  <c r="B469" i="3"/>
  <c r="C456" i="3"/>
  <c r="B456" i="3"/>
  <c r="C443" i="3"/>
  <c r="B443" i="3"/>
  <c r="C435" i="3"/>
  <c r="B435" i="3"/>
  <c r="C429" i="3"/>
  <c r="B429" i="3"/>
  <c r="C422" i="3"/>
  <c r="B422" i="3"/>
  <c r="C413" i="3"/>
  <c r="B413" i="3"/>
  <c r="C406" i="3"/>
  <c r="B406" i="3"/>
  <c r="C393" i="3"/>
  <c r="B393" i="3"/>
  <c r="C386" i="3"/>
  <c r="B386" i="3"/>
  <c r="C372" i="3"/>
  <c r="B372" i="3"/>
  <c r="C363" i="3"/>
  <c r="B363" i="3"/>
  <c r="C356" i="3"/>
  <c r="B356" i="3"/>
  <c r="C344" i="3"/>
  <c r="B344" i="3"/>
  <c r="C331" i="3"/>
  <c r="B331" i="3"/>
  <c r="C308" i="3"/>
  <c r="B308" i="3"/>
  <c r="C299" i="3"/>
  <c r="B299" i="3"/>
  <c r="C291" i="3"/>
  <c r="B291" i="3"/>
  <c r="C279" i="3"/>
  <c r="B279" i="3"/>
  <c r="C261" i="3"/>
  <c r="B261" i="3"/>
  <c r="C252" i="3"/>
  <c r="B252" i="3"/>
  <c r="C245" i="3"/>
  <c r="B245" i="3"/>
  <c r="C239" i="3"/>
  <c r="B239" i="3"/>
  <c r="C232" i="3"/>
  <c r="B232" i="3"/>
  <c r="C225" i="3"/>
  <c r="B225" i="3"/>
  <c r="C207" i="3"/>
  <c r="B207" i="3"/>
  <c r="C196" i="3"/>
  <c r="B196" i="3"/>
  <c r="C189" i="3"/>
  <c r="B189" i="3"/>
  <c r="C172" i="3"/>
  <c r="B172" i="3"/>
  <c r="C163" i="3"/>
  <c r="B163" i="3"/>
  <c r="C156" i="3"/>
  <c r="B156" i="3"/>
  <c r="C149" i="3"/>
  <c r="B149" i="3"/>
  <c r="C143" i="3"/>
  <c r="B143" i="3"/>
  <c r="C132" i="3"/>
  <c r="B132" i="3"/>
  <c r="C123" i="3"/>
  <c r="B123" i="3"/>
  <c r="C113" i="3"/>
  <c r="B113" i="3"/>
  <c r="C106" i="3"/>
  <c r="B106" i="3"/>
  <c r="C98" i="3"/>
  <c r="B98" i="3"/>
  <c r="C91" i="3"/>
  <c r="B91" i="3"/>
  <c r="C87" i="3"/>
  <c r="B87" i="3"/>
  <c r="C80" i="3"/>
  <c r="B80" i="3"/>
  <c r="C64" i="3"/>
  <c r="B64" i="3"/>
  <c r="C58" i="3"/>
  <c r="B58" i="3"/>
  <c r="C50" i="3"/>
  <c r="B50" i="3"/>
  <c r="C44" i="3"/>
  <c r="B44" i="3"/>
  <c r="C39" i="3"/>
  <c r="B39" i="3"/>
  <c r="C34" i="3"/>
  <c r="B34" i="3"/>
  <c r="C19" i="3"/>
  <c r="B19" i="3"/>
  <c r="C6" i="3"/>
  <c r="B6" i="3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C740" i="3"/>
  <c r="B598" i="3"/>
  <c r="C513" i="3"/>
  <c r="C492" i="3"/>
  <c r="B513" i="3"/>
  <c r="C522" i="3"/>
  <c r="B522" i="3"/>
  <c r="B740" i="3"/>
  <c r="B492" i="3"/>
  <c r="C598" i="3"/>
</calcChain>
</file>

<file path=xl/sharedStrings.xml><?xml version="1.0" encoding="utf-8"?>
<sst xmlns="http://schemas.openxmlformats.org/spreadsheetml/2006/main" count="1517" uniqueCount="444">
  <si>
    <t>Location</t>
  </si>
  <si>
    <t>Collection date</t>
  </si>
  <si>
    <t>Species</t>
  </si>
  <si>
    <t>Seed lot</t>
  </si>
  <si>
    <t>Weight of 10 seeds (g)</t>
  </si>
  <si>
    <t>Weight of seed lot (g)</t>
  </si>
  <si>
    <t>Number seeds/seed lot</t>
  </si>
  <si>
    <t>littoralis</t>
  </si>
  <si>
    <t>GB1Q30</t>
  </si>
  <si>
    <t>WPS1</t>
  </si>
  <si>
    <t>WPS2</t>
  </si>
  <si>
    <t>WPS3</t>
  </si>
  <si>
    <t>torulosa</t>
  </si>
  <si>
    <t>WPS28</t>
  </si>
  <si>
    <t>WPS31</t>
  </si>
  <si>
    <t>WPS36</t>
  </si>
  <si>
    <t>WPS47</t>
  </si>
  <si>
    <t>WPS48</t>
  </si>
  <si>
    <t>WPS50</t>
  </si>
  <si>
    <t>WPS54</t>
  </si>
  <si>
    <t>WPS55</t>
  </si>
  <si>
    <t>WPS56</t>
  </si>
  <si>
    <t>WPS57</t>
  </si>
  <si>
    <t>WPS58</t>
  </si>
  <si>
    <t>WPS59</t>
  </si>
  <si>
    <t>WPS60</t>
  </si>
  <si>
    <t>WPS61</t>
  </si>
  <si>
    <t>WPS62</t>
  </si>
  <si>
    <t>WPS63</t>
  </si>
  <si>
    <t>WPS64</t>
  </si>
  <si>
    <t>WPS65</t>
  </si>
  <si>
    <t>WPS71</t>
  </si>
  <si>
    <t>WPS73</t>
  </si>
  <si>
    <t>Testing1</t>
  </si>
  <si>
    <t>Testing2</t>
  </si>
  <si>
    <t>WPS75</t>
  </si>
  <si>
    <t>WPS77</t>
  </si>
  <si>
    <t>WPS78</t>
  </si>
  <si>
    <t>WPS80</t>
  </si>
  <si>
    <t>WPS82</t>
  </si>
  <si>
    <t>WPS83</t>
  </si>
  <si>
    <t>WPS84</t>
  </si>
  <si>
    <t>WPS87</t>
  </si>
  <si>
    <t>WPS88</t>
  </si>
  <si>
    <t>WPS89</t>
  </si>
  <si>
    <t>WPS90</t>
  </si>
  <si>
    <t>WPS91</t>
  </si>
  <si>
    <t>WPS92</t>
  </si>
  <si>
    <t>WPS93</t>
  </si>
  <si>
    <t>WPS94</t>
  </si>
  <si>
    <t>WPS95</t>
  </si>
  <si>
    <t>WPS96</t>
  </si>
  <si>
    <t>WPS97</t>
  </si>
  <si>
    <t>WPS98</t>
  </si>
  <si>
    <t>WPS102</t>
  </si>
  <si>
    <t>WPS103</t>
  </si>
  <si>
    <t>WPS106</t>
  </si>
  <si>
    <t>WPS107</t>
  </si>
  <si>
    <t>WPS108</t>
  </si>
  <si>
    <t>WPS109</t>
  </si>
  <si>
    <t>WPS110</t>
  </si>
  <si>
    <t>WPS111</t>
  </si>
  <si>
    <t>WPS112</t>
  </si>
  <si>
    <t>WPS113</t>
  </si>
  <si>
    <t>WPS114</t>
  </si>
  <si>
    <t>WPS122</t>
  </si>
  <si>
    <t>WPS123</t>
  </si>
  <si>
    <t>WPS124</t>
  </si>
  <si>
    <t>WPS125</t>
  </si>
  <si>
    <t>WPS126</t>
  </si>
  <si>
    <t>WPS127</t>
  </si>
  <si>
    <t>WPS128</t>
  </si>
  <si>
    <t>WPS129</t>
  </si>
  <si>
    <t>WPS130</t>
  </si>
  <si>
    <t>WPS131</t>
  </si>
  <si>
    <t>WPS132</t>
  </si>
  <si>
    <t>WPS133</t>
  </si>
  <si>
    <t>WPS134</t>
  </si>
  <si>
    <t>WPS135</t>
  </si>
  <si>
    <t>WPS136</t>
  </si>
  <si>
    <t>WPS137</t>
  </si>
  <si>
    <t>WPS138</t>
  </si>
  <si>
    <t>WPS139</t>
  </si>
  <si>
    <t>WPS140</t>
  </si>
  <si>
    <t>WPS141</t>
  </si>
  <si>
    <t>WPS142</t>
  </si>
  <si>
    <t>WPS143</t>
  </si>
  <si>
    <t>WPS144</t>
  </si>
  <si>
    <t>WPS145</t>
  </si>
  <si>
    <t>WPS146</t>
  </si>
  <si>
    <t>WPS147</t>
  </si>
  <si>
    <t>WPS148</t>
  </si>
  <si>
    <t>WPS149</t>
  </si>
  <si>
    <t>WPS150</t>
  </si>
  <si>
    <t>WPS151</t>
  </si>
  <si>
    <t>WPS152</t>
  </si>
  <si>
    <t>WPS153</t>
  </si>
  <si>
    <t>WPS154</t>
  </si>
  <si>
    <t>WPS156</t>
  </si>
  <si>
    <t>WPS157</t>
  </si>
  <si>
    <t>WPS158</t>
  </si>
  <si>
    <t>WPS159</t>
  </si>
  <si>
    <t>WPS160</t>
  </si>
  <si>
    <t>WPS161</t>
  </si>
  <si>
    <t>WPS162</t>
  </si>
  <si>
    <t>WPS163</t>
  </si>
  <si>
    <t>WPS168</t>
  </si>
  <si>
    <t>WPS169</t>
  </si>
  <si>
    <t>WPS170</t>
  </si>
  <si>
    <t>WPS171</t>
  </si>
  <si>
    <t>WPS172</t>
  </si>
  <si>
    <t>WPS173</t>
  </si>
  <si>
    <t>WPS174</t>
  </si>
  <si>
    <t>WPS175</t>
  </si>
  <si>
    <t>WPS177</t>
  </si>
  <si>
    <t>WPS178</t>
  </si>
  <si>
    <t>WPS179</t>
  </si>
  <si>
    <t>WPS180</t>
  </si>
  <si>
    <t>WPS181</t>
  </si>
  <si>
    <t>WPS187</t>
  </si>
  <si>
    <t>WPS192</t>
  </si>
  <si>
    <t>WPS195</t>
  </si>
  <si>
    <t>WPS196</t>
  </si>
  <si>
    <t>WPS197</t>
  </si>
  <si>
    <t>WPS201</t>
  </si>
  <si>
    <t>WPS202</t>
  </si>
  <si>
    <t>Transect</t>
  </si>
  <si>
    <t>Seed colour</t>
  </si>
  <si>
    <t>Seed mass (Weight of seed lot in g)</t>
  </si>
  <si>
    <t>Seed mass/cone</t>
  </si>
  <si>
    <t>Cone length</t>
  </si>
  <si>
    <t>Cone width</t>
  </si>
  <si>
    <t>Number viable</t>
  </si>
  <si>
    <t>Number inviable</t>
  </si>
  <si>
    <t>Proportion viable (Number viable/total seeds)</t>
  </si>
  <si>
    <t>Gatton National Park</t>
  </si>
  <si>
    <t>GB1</t>
  </si>
  <si>
    <t>Black</t>
  </si>
  <si>
    <t>Dark brown</t>
  </si>
  <si>
    <t>Lockyer National Park</t>
  </si>
  <si>
    <t>LH1</t>
  </si>
  <si>
    <t>LL2</t>
  </si>
  <si>
    <t>LH8</t>
  </si>
  <si>
    <t>LH4</t>
  </si>
  <si>
    <t>Medium brown</t>
  </si>
  <si>
    <t>Lockyer - Garrett property</t>
  </si>
  <si>
    <t>LL6</t>
  </si>
  <si>
    <t>LL7</t>
  </si>
  <si>
    <t>LL5</t>
  </si>
  <si>
    <t>LL8</t>
  </si>
  <si>
    <t>LL</t>
  </si>
  <si>
    <t>LL3</t>
  </si>
  <si>
    <t>LL4</t>
  </si>
  <si>
    <t>Hidden Vale</t>
  </si>
  <si>
    <t>HVL2</t>
  </si>
  <si>
    <t>HVL1</t>
  </si>
  <si>
    <t>LH6</t>
  </si>
  <si>
    <t>LH5</t>
  </si>
  <si>
    <t>Dwyers Scrub Conservation Park</t>
  </si>
  <si>
    <t>DLitL1</t>
  </si>
  <si>
    <t>Main Range National Park</t>
  </si>
  <si>
    <t>MT1</t>
  </si>
  <si>
    <t>MTL1</t>
  </si>
  <si>
    <t>Mount Barney National Park</t>
  </si>
  <si>
    <t>BTH2</t>
  </si>
  <si>
    <t>BTH1</t>
  </si>
  <si>
    <t>BTLit1</t>
  </si>
  <si>
    <t>BTLit2</t>
  </si>
  <si>
    <t>BTL1</t>
  </si>
  <si>
    <t>BTHLit1</t>
  </si>
  <si>
    <t>BTH3</t>
  </si>
  <si>
    <t>Mount Barney National Park-Gillies Ridge</t>
  </si>
  <si>
    <t>GIL</t>
  </si>
  <si>
    <t>Mount Barney Lodge</t>
  </si>
  <si>
    <t>BTL2</t>
  </si>
  <si>
    <t>BTLit3</t>
  </si>
  <si>
    <t>6 Waterfall</t>
  </si>
  <si>
    <t>WATER</t>
  </si>
  <si>
    <t>6 Warerfall</t>
  </si>
  <si>
    <t>Bartopia Nature Refuge</t>
  </si>
  <si>
    <t>BAR1</t>
  </si>
  <si>
    <t>BAR2</t>
  </si>
  <si>
    <t>Bulimbah Nature Refuge</t>
  </si>
  <si>
    <t>BUL2</t>
  </si>
  <si>
    <t>Total seeds x-rayed</t>
  </si>
  <si>
    <t>Number of seeds estimate from weight</t>
  </si>
  <si>
    <t>NA</t>
  </si>
  <si>
    <t>Average</t>
  </si>
  <si>
    <t>S3 addit</t>
  </si>
  <si>
    <t xml:space="preserve">Close to S3 </t>
  </si>
  <si>
    <t>WS57</t>
  </si>
  <si>
    <t>wps91</t>
  </si>
  <si>
    <t>wps77</t>
  </si>
  <si>
    <t>Testing 1</t>
  </si>
  <si>
    <t>Testing 2</t>
  </si>
  <si>
    <t>WP127</t>
  </si>
  <si>
    <t>Plant condition</t>
  </si>
  <si>
    <t>burnt</t>
  </si>
  <si>
    <t>Resprouting</t>
  </si>
  <si>
    <t>none</t>
  </si>
  <si>
    <t>basal</t>
  </si>
  <si>
    <t>trunk</t>
  </si>
  <si>
    <t>alive</t>
  </si>
  <si>
    <t>Number of cones collected</t>
  </si>
  <si>
    <t>Fecundity (number cones on tree)</t>
  </si>
  <si>
    <t>&gt;500</t>
  </si>
  <si>
    <t>&gt;250</t>
  </si>
  <si>
    <t>&gt;350</t>
  </si>
  <si>
    <t>&gt;300</t>
  </si>
  <si>
    <t>&gt;200</t>
  </si>
  <si>
    <t>&gt;150</t>
  </si>
  <si>
    <t>&gt;100</t>
  </si>
  <si>
    <t>&gt;400</t>
  </si>
  <si>
    <t>&gt;600</t>
  </si>
  <si>
    <t>&gt;50</t>
  </si>
  <si>
    <t>&gt;700</t>
  </si>
  <si>
    <t>&gt;800</t>
  </si>
  <si>
    <t>&gt;5000</t>
  </si>
  <si>
    <t>Latitude</t>
  </si>
  <si>
    <t>Longitude</t>
  </si>
  <si>
    <t xml:space="preserve">S27.49815° </t>
  </si>
  <si>
    <t>E152.21763°</t>
  </si>
  <si>
    <t>S27.49830°</t>
  </si>
  <si>
    <t xml:space="preserve"> E152.21754°</t>
  </si>
  <si>
    <t>S27.49854°</t>
  </si>
  <si>
    <t>E152.21740°</t>
  </si>
  <si>
    <t>S27.47202°</t>
  </si>
  <si>
    <t xml:space="preserve"> E152.21831°</t>
  </si>
  <si>
    <t>S27.47154°</t>
  </si>
  <si>
    <t>E152.21814°</t>
  </si>
  <si>
    <t>S27.47132°</t>
  </si>
  <si>
    <t>E152.21847°</t>
  </si>
  <si>
    <t>S27.45172°</t>
  </si>
  <si>
    <t>E152.19814°</t>
  </si>
  <si>
    <t xml:space="preserve">S27.45166° </t>
  </si>
  <si>
    <t>E152.19794°</t>
  </si>
  <si>
    <t xml:space="preserve">S27.45150° </t>
  </si>
  <si>
    <t>E152.19778°</t>
  </si>
  <si>
    <t xml:space="preserve">S27.45140° </t>
  </si>
  <si>
    <t>E152.19798°</t>
  </si>
  <si>
    <t xml:space="preserve">S27.45141° </t>
  </si>
  <si>
    <t>E152.19757°</t>
  </si>
  <si>
    <t xml:space="preserve">S27.45252° </t>
  </si>
  <si>
    <t>E152.19708°</t>
  </si>
  <si>
    <t xml:space="preserve">S27.45273° </t>
  </si>
  <si>
    <t>E152.19723°</t>
  </si>
  <si>
    <t xml:space="preserve">S27.45299° </t>
  </si>
  <si>
    <t>E152.19728°</t>
  </si>
  <si>
    <t xml:space="preserve">S27.45280° </t>
  </si>
  <si>
    <t>E152.19758°</t>
  </si>
  <si>
    <t>S27.45435°</t>
  </si>
  <si>
    <t xml:space="preserve"> E152.19879°</t>
  </si>
  <si>
    <t>S27.45428°</t>
  </si>
  <si>
    <t xml:space="preserve"> E152.19662°</t>
  </si>
  <si>
    <t>S27.45442°</t>
  </si>
  <si>
    <t>E152.19705°</t>
  </si>
  <si>
    <t>S27.45668°</t>
  </si>
  <si>
    <t>E152.19509°</t>
  </si>
  <si>
    <t xml:space="preserve">S27.45692° </t>
  </si>
  <si>
    <t>E152.19510°</t>
  </si>
  <si>
    <t xml:space="preserve">S27.45666° </t>
  </si>
  <si>
    <t>E152.19532°</t>
  </si>
  <si>
    <t xml:space="preserve">S27.45526° </t>
  </si>
  <si>
    <t>E152.19361°</t>
  </si>
  <si>
    <t xml:space="preserve">S27.45549° </t>
  </si>
  <si>
    <t>E152.19346°</t>
  </si>
  <si>
    <t xml:space="preserve">S27.45558° </t>
  </si>
  <si>
    <t>E152.19378°</t>
  </si>
  <si>
    <t xml:space="preserve">S27.72922° </t>
  </si>
  <si>
    <t>E152.43681°</t>
  </si>
  <si>
    <t xml:space="preserve">S27.72900° </t>
  </si>
  <si>
    <t xml:space="preserve">S27.72901° </t>
  </si>
  <si>
    <t>E152.43659°</t>
  </si>
  <si>
    <t xml:space="preserve">S27.72915° </t>
  </si>
  <si>
    <t>E152.43643°</t>
  </si>
  <si>
    <t xml:space="preserve">S27.72872° </t>
  </si>
  <si>
    <t>E152.43639°</t>
  </si>
  <si>
    <t xml:space="preserve">S27.71366° </t>
  </si>
  <si>
    <t>E152.44630°</t>
  </si>
  <si>
    <t xml:space="preserve">S27.71372° </t>
  </si>
  <si>
    <t>E152.44614°</t>
  </si>
  <si>
    <t xml:space="preserve">S27.71379° </t>
  </si>
  <si>
    <t>E152.44586°</t>
  </si>
  <si>
    <t xml:space="preserve">S27.71387° </t>
  </si>
  <si>
    <t>E152.44565°</t>
  </si>
  <si>
    <t xml:space="preserve">S27.71353° </t>
  </si>
  <si>
    <t>E152.44558°</t>
  </si>
  <si>
    <t xml:space="preserve">S27.47000° </t>
  </si>
  <si>
    <t>E152.22717°</t>
  </si>
  <si>
    <t xml:space="preserve">S27.47021° </t>
  </si>
  <si>
    <t>E152.22675°</t>
  </si>
  <si>
    <t xml:space="preserve">S27.46232° </t>
  </si>
  <si>
    <t>E152.22034°</t>
  </si>
  <si>
    <t xml:space="preserve">S27.46253° </t>
  </si>
  <si>
    <t>E152.22051°</t>
  </si>
  <si>
    <t xml:space="preserve">S27.46250° </t>
  </si>
  <si>
    <t>E152.22084°</t>
  </si>
  <si>
    <t xml:space="preserve">S27.70778° </t>
  </si>
  <si>
    <t>E152.08911°</t>
  </si>
  <si>
    <t xml:space="preserve">S27.70752° </t>
  </si>
  <si>
    <t>E152.08887°</t>
  </si>
  <si>
    <t xml:space="preserve">S27.70733° </t>
  </si>
  <si>
    <t>E152.08880°</t>
  </si>
  <si>
    <t xml:space="preserve">S27.70735° </t>
  </si>
  <si>
    <t>E152.08902°</t>
  </si>
  <si>
    <t xml:space="preserve">S27.70758° </t>
  </si>
  <si>
    <t>E152.08932°</t>
  </si>
  <si>
    <t>S27.97787°</t>
  </si>
  <si>
    <t>E152.35330°</t>
  </si>
  <si>
    <t xml:space="preserve">S27.97803° </t>
  </si>
  <si>
    <t>E152.35316°</t>
  </si>
  <si>
    <t xml:space="preserve">S27.97806° </t>
  </si>
  <si>
    <t>E152.35284°</t>
  </si>
  <si>
    <t xml:space="preserve">S28.23712° </t>
  </si>
  <si>
    <t>E152.71895°</t>
  </si>
  <si>
    <t xml:space="preserve">S28.23708° </t>
  </si>
  <si>
    <t>E152.71874°</t>
  </si>
  <si>
    <t xml:space="preserve">S28.23734° </t>
  </si>
  <si>
    <t>E152.71862°</t>
  </si>
  <si>
    <t xml:space="preserve">S28.23732° </t>
  </si>
  <si>
    <t>E152.71838°</t>
  </si>
  <si>
    <t xml:space="preserve">S28.23735° </t>
  </si>
  <si>
    <t>E152.71800°</t>
  </si>
  <si>
    <t xml:space="preserve">S28.23792° </t>
  </si>
  <si>
    <t>E152.71891°</t>
  </si>
  <si>
    <t xml:space="preserve">S28.23756° </t>
  </si>
  <si>
    <t>E152.71882°</t>
  </si>
  <si>
    <t xml:space="preserve">S28.23648° </t>
  </si>
  <si>
    <t>E152.71919°</t>
  </si>
  <si>
    <t xml:space="preserve">S28.23598° </t>
  </si>
  <si>
    <t>E152.71583°</t>
  </si>
  <si>
    <t xml:space="preserve">S28.23626° </t>
  </si>
  <si>
    <t>E152.71579°</t>
  </si>
  <si>
    <t xml:space="preserve">S28.23656° </t>
  </si>
  <si>
    <t>E152.71569°</t>
  </si>
  <si>
    <t xml:space="preserve">S28.23649° </t>
  </si>
  <si>
    <t>E152.71551°</t>
  </si>
  <si>
    <t xml:space="preserve">S28.23681° </t>
  </si>
  <si>
    <t>E152.71552°</t>
  </si>
  <si>
    <t xml:space="preserve">S28.23819° </t>
  </si>
  <si>
    <t>E152.72786°</t>
  </si>
  <si>
    <t xml:space="preserve">S28.23804° </t>
  </si>
  <si>
    <t>E152.72725°</t>
  </si>
  <si>
    <t xml:space="preserve">S28.23821° </t>
  </si>
  <si>
    <t>E152.72714°</t>
  </si>
  <si>
    <t xml:space="preserve">S28.23813° </t>
  </si>
  <si>
    <t>E152.72721°</t>
  </si>
  <si>
    <t>E152.72671°</t>
  </si>
  <si>
    <t xml:space="preserve">S28.23809° </t>
  </si>
  <si>
    <t xml:space="preserve">S28.24000° </t>
  </si>
  <si>
    <t>E152.73023°</t>
  </si>
  <si>
    <t xml:space="preserve">S28.23982° </t>
  </si>
  <si>
    <t>E152.73013°</t>
  </si>
  <si>
    <t xml:space="preserve">S28.24011° </t>
  </si>
  <si>
    <t>E152.72980°</t>
  </si>
  <si>
    <t xml:space="preserve">S28.23990° </t>
  </si>
  <si>
    <t>E152.72991°</t>
  </si>
  <si>
    <t xml:space="preserve">S28.23973° </t>
  </si>
  <si>
    <t>E152.72988°</t>
  </si>
  <si>
    <t xml:space="preserve">S28.24074° </t>
  </si>
  <si>
    <t>E152.65541°</t>
  </si>
  <si>
    <t xml:space="preserve">S28.24059° </t>
  </si>
  <si>
    <t>E152.65523°</t>
  </si>
  <si>
    <t xml:space="preserve">S28.24040° </t>
  </si>
  <si>
    <t>E152.65526°</t>
  </si>
  <si>
    <t xml:space="preserve">S28.24038° </t>
  </si>
  <si>
    <t>E152.65506°</t>
  </si>
  <si>
    <t xml:space="preserve">S28.24080° </t>
  </si>
  <si>
    <t>E152.65563°</t>
  </si>
  <si>
    <t xml:space="preserve">S28.28317° </t>
  </si>
  <si>
    <t>E152.72632°</t>
  </si>
  <si>
    <t xml:space="preserve">S28.28354° </t>
  </si>
  <si>
    <t>E152.72628°</t>
  </si>
  <si>
    <t xml:space="preserve">S28.28376° </t>
  </si>
  <si>
    <t>E152.72633°</t>
  </si>
  <si>
    <t xml:space="preserve">S28.28388° </t>
  </si>
  <si>
    <t>E152.72626°</t>
  </si>
  <si>
    <t xml:space="preserve">S28.28347° </t>
  </si>
  <si>
    <t>E152.72655°</t>
  </si>
  <si>
    <t xml:space="preserve">S28.28344° </t>
  </si>
  <si>
    <t xml:space="preserve">S28.28369° </t>
  </si>
  <si>
    <t>E152.72817°</t>
  </si>
  <si>
    <t xml:space="preserve">S28.28343° </t>
  </si>
  <si>
    <t>E152.72822°</t>
  </si>
  <si>
    <t xml:space="preserve">S28.28330° </t>
  </si>
  <si>
    <t>E152.72837°</t>
  </si>
  <si>
    <t xml:space="preserve">S28.28333° </t>
  </si>
  <si>
    <t>E152.72858°</t>
  </si>
  <si>
    <t xml:space="preserve">S28.28364° </t>
  </si>
  <si>
    <t>E152.72857°</t>
  </si>
  <si>
    <t xml:space="preserve">S28.27205° </t>
  </si>
  <si>
    <t>E152.76866°</t>
  </si>
  <si>
    <t xml:space="preserve">S28.27790° </t>
  </si>
  <si>
    <t>E152.73862°</t>
  </si>
  <si>
    <t xml:space="preserve">S28.27772° </t>
  </si>
  <si>
    <t>E152.73876°</t>
  </si>
  <si>
    <t xml:space="preserve">S28.27751° </t>
  </si>
  <si>
    <t>E152.73887°</t>
  </si>
  <si>
    <t xml:space="preserve">S28.27748° </t>
  </si>
  <si>
    <t xml:space="preserve">S28.27783° </t>
  </si>
  <si>
    <t>E152.73842°</t>
  </si>
  <si>
    <t xml:space="preserve">S28.27729° </t>
  </si>
  <si>
    <t>E152.73867°</t>
  </si>
  <si>
    <t xml:space="preserve">S28.27774° </t>
  </si>
  <si>
    <t>E152.73826°</t>
  </si>
  <si>
    <t xml:space="preserve">S28.27810° </t>
  </si>
  <si>
    <t>E152.73805°</t>
  </si>
  <si>
    <t xml:space="preserve">S28.22724° </t>
  </si>
  <si>
    <t>E152.65826°</t>
  </si>
  <si>
    <t xml:space="preserve">S28.22750° </t>
  </si>
  <si>
    <t>E152.65838°</t>
  </si>
  <si>
    <t xml:space="preserve">S28.22767° </t>
  </si>
  <si>
    <t>E152.65856°</t>
  </si>
  <si>
    <t xml:space="preserve">S28.22787° </t>
  </si>
  <si>
    <t>E152.65787°</t>
  </si>
  <si>
    <t xml:space="preserve">S28.22797° </t>
  </si>
  <si>
    <t>E152.65770°</t>
  </si>
  <si>
    <t xml:space="preserve">S28.23334° </t>
  </si>
  <si>
    <t>E152.64213°</t>
  </si>
  <si>
    <t xml:space="preserve">S28.23470° </t>
  </si>
  <si>
    <t>E152.63445°</t>
  </si>
  <si>
    <t xml:space="preserve">S28.23445° </t>
  </si>
  <si>
    <t>E152.63379°</t>
  </si>
  <si>
    <t xml:space="preserve">S28.23409° </t>
  </si>
  <si>
    <t>E152.63387°</t>
  </si>
  <si>
    <t xml:space="preserve">S28.23359° </t>
  </si>
  <si>
    <t>E152.63356°</t>
  </si>
  <si>
    <t xml:space="preserve">S28.23547° </t>
  </si>
  <si>
    <t>E152.63792°</t>
  </si>
  <si>
    <t xml:space="preserve">S28.23517° </t>
  </si>
  <si>
    <t>E152.63730°</t>
  </si>
  <si>
    <t>Seed weight subset of 10 seeds</t>
  </si>
  <si>
    <r>
      <t>S27</t>
    </r>
    <r>
      <rPr>
        <sz val="11"/>
        <color theme="1"/>
        <rFont val="Calibri"/>
        <family val="2"/>
      </rPr>
      <t>.60261</t>
    </r>
    <r>
      <rPr>
        <sz val="12"/>
        <color theme="1"/>
        <rFont val="Aptos Narrow"/>
        <family val="2"/>
        <scheme val="minor"/>
      </rPr>
      <t>°</t>
    </r>
  </si>
  <si>
    <t>E152.30475°</t>
  </si>
  <si>
    <t>S27.60271°</t>
  </si>
  <si>
    <t>E152.30515°</t>
  </si>
  <si>
    <t>S27.60270°</t>
  </si>
  <si>
    <t>E152.30527°</t>
  </si>
  <si>
    <t>S27.46727°</t>
  </si>
  <si>
    <t>E152.17751°</t>
  </si>
  <si>
    <t>S27.46695°</t>
  </si>
  <si>
    <t>E152.17718°</t>
  </si>
  <si>
    <t>S27.46743°</t>
  </si>
  <si>
    <t>E152.17733°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</si>
</sst>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2" borderId="2" xfId="0" applyFill="1" applyBorder="1"/>
    <xf numFmtId="0" fontId="0" fillId="0" borderId="2" xfId="0" applyBorder="1"/>
    <xf numFmtId="0" fontId="0" fillId="0" borderId="3" xfId="0" applyBorder="1"/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2" fontId="1" fillId="0" borderId="1" xfId="0" applyNumberFormat="1" applyFont="1" applyBorder="1" applyAlignment="1">
      <alignment wrapText="1"/>
    </xf>
    <xf numFmtId="14" fontId="0" fillId="0" borderId="0" xfId="0" applyNumberFormat="1"/>
    <xf numFmtId="2" fontId="0" fillId="0" borderId="0" xfId="0" applyNumberFormat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935CF-559B-EE44-B6FB-04BB09FF4658}">
  <dimension ref="A1:G118"/>
  <sheetViews>
    <sheetView workbookViewId="0">
      <selection activeCell="E1" sqref="E1:G1048576"/>
    </sheetView>
  </sheetViews>
  <sheetFormatPr defaultColWidth="10.6640625" defaultRowHeight="16" x14ac:dyDescent="0.4"/>
  <cols>
    <col min="5" max="7" width="10.83203125"/>
  </cols>
  <sheetData>
    <row r="1" spans="1:7" ht="44" x14ac:dyDescent="0.4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4">
      <c r="C2" t="s">
        <v>7</v>
      </c>
      <c r="D2" t="s">
        <v>8</v>
      </c>
      <c r="E2" s="6">
        <v>2.7699999999999999E-2</v>
      </c>
      <c r="F2" s="6">
        <v>0.04</v>
      </c>
      <c r="G2" s="7">
        <f>(F2/E2)*10</f>
        <v>14.440433212996391</v>
      </c>
    </row>
    <row r="3" spans="1:7" x14ac:dyDescent="0.4">
      <c r="C3" t="s">
        <v>7</v>
      </c>
      <c r="D3" t="s">
        <v>9</v>
      </c>
      <c r="E3" s="6">
        <v>2.3900000000000001E-2</v>
      </c>
      <c r="F3" s="6">
        <v>0.115</v>
      </c>
      <c r="G3" s="7">
        <f t="shared" ref="G3:G66" si="0">(F3/E3)*10</f>
        <v>48.11715481171548</v>
      </c>
    </row>
    <row r="4" spans="1:7" x14ac:dyDescent="0.4">
      <c r="C4" t="s">
        <v>7</v>
      </c>
      <c r="D4" t="s">
        <v>10</v>
      </c>
      <c r="E4" s="6">
        <v>2.0799999999999999E-2</v>
      </c>
      <c r="F4" s="6">
        <v>3.4000000000000002E-2</v>
      </c>
      <c r="G4" s="7">
        <f t="shared" si="0"/>
        <v>16.346153846153847</v>
      </c>
    </row>
    <row r="5" spans="1:7" x14ac:dyDescent="0.4">
      <c r="C5" t="s">
        <v>7</v>
      </c>
      <c r="D5" t="s">
        <v>11</v>
      </c>
      <c r="E5" s="6">
        <v>3.0200000000000001E-2</v>
      </c>
      <c r="F5" s="6">
        <v>0.25900000000000001</v>
      </c>
      <c r="G5" s="7">
        <f t="shared" si="0"/>
        <v>85.761589403973502</v>
      </c>
    </row>
    <row r="6" spans="1:7" x14ac:dyDescent="0.4">
      <c r="C6" s="3" t="s">
        <v>12</v>
      </c>
      <c r="D6" t="s">
        <v>13</v>
      </c>
      <c r="E6" s="6">
        <v>5.1700000000000003E-2</v>
      </c>
      <c r="F6" s="6">
        <v>1.1519999999999999</v>
      </c>
      <c r="G6" s="7">
        <f t="shared" si="0"/>
        <v>222.82398452611216</v>
      </c>
    </row>
    <row r="7" spans="1:7" x14ac:dyDescent="0.4">
      <c r="C7" s="3" t="s">
        <v>12</v>
      </c>
      <c r="D7" t="s">
        <v>14</v>
      </c>
      <c r="E7" s="6">
        <v>4.7E-2</v>
      </c>
      <c r="F7" s="6">
        <v>0.82399999999999995</v>
      </c>
      <c r="G7" s="7">
        <f t="shared" si="0"/>
        <v>175.31914893617022</v>
      </c>
    </row>
    <row r="8" spans="1:7" x14ac:dyDescent="0.4">
      <c r="C8" s="4" t="s">
        <v>12</v>
      </c>
      <c r="D8" t="s">
        <v>15</v>
      </c>
      <c r="E8" s="6">
        <v>6.1499999999999999E-2</v>
      </c>
      <c r="F8" s="6">
        <v>0.32900000000000001</v>
      </c>
      <c r="G8" s="7">
        <f t="shared" si="0"/>
        <v>53.495934959349597</v>
      </c>
    </row>
    <row r="9" spans="1:7" x14ac:dyDescent="0.4">
      <c r="C9" s="4" t="s">
        <v>12</v>
      </c>
      <c r="D9" t="s">
        <v>16</v>
      </c>
      <c r="E9" s="6">
        <v>5.8900000000000001E-2</v>
      </c>
      <c r="F9" s="6">
        <v>0.63600000000000001</v>
      </c>
      <c r="G9" s="7">
        <f t="shared" si="0"/>
        <v>107.97962648556876</v>
      </c>
    </row>
    <row r="10" spans="1:7" x14ac:dyDescent="0.4">
      <c r="C10" s="4" t="s">
        <v>12</v>
      </c>
      <c r="D10" t="s">
        <v>17</v>
      </c>
      <c r="E10" s="6">
        <v>4.5400000000000003E-2</v>
      </c>
      <c r="F10" s="6">
        <v>1.996</v>
      </c>
      <c r="G10" s="7">
        <f t="shared" si="0"/>
        <v>439.64757709251097</v>
      </c>
    </row>
    <row r="11" spans="1:7" x14ac:dyDescent="0.4">
      <c r="C11" s="4" t="s">
        <v>12</v>
      </c>
      <c r="D11" t="s">
        <v>18</v>
      </c>
      <c r="E11" s="6">
        <v>4.65E-2</v>
      </c>
      <c r="F11" s="6">
        <v>0.81799999999999995</v>
      </c>
      <c r="G11" s="7">
        <f t="shared" si="0"/>
        <v>175.91397849462365</v>
      </c>
    </row>
    <row r="12" spans="1:7" x14ac:dyDescent="0.4">
      <c r="C12" s="4" t="s">
        <v>12</v>
      </c>
      <c r="D12" t="s">
        <v>19</v>
      </c>
      <c r="E12" s="6">
        <v>4.1399999999999999E-2</v>
      </c>
      <c r="F12" s="6">
        <v>0.52600000000000002</v>
      </c>
      <c r="G12" s="7">
        <f t="shared" si="0"/>
        <v>127.05314009661836</v>
      </c>
    </row>
    <row r="13" spans="1:7" x14ac:dyDescent="0.4">
      <c r="C13" s="4" t="s">
        <v>12</v>
      </c>
      <c r="D13" t="s">
        <v>20</v>
      </c>
      <c r="E13" s="6">
        <v>2.8899999999999999E-2</v>
      </c>
      <c r="F13" s="6">
        <v>2.1440000000000001</v>
      </c>
      <c r="G13" s="7">
        <f t="shared" si="0"/>
        <v>741.86851211072678</v>
      </c>
    </row>
    <row r="14" spans="1:7" x14ac:dyDescent="0.4">
      <c r="C14" s="4" t="s">
        <v>12</v>
      </c>
      <c r="D14" t="s">
        <v>21</v>
      </c>
      <c r="E14" s="6">
        <v>3.73E-2</v>
      </c>
      <c r="F14" s="6">
        <v>0.53500000000000003</v>
      </c>
      <c r="G14" s="7">
        <f t="shared" si="0"/>
        <v>143.43163538873995</v>
      </c>
    </row>
    <row r="15" spans="1:7" x14ac:dyDescent="0.4">
      <c r="C15" s="4" t="s">
        <v>12</v>
      </c>
      <c r="D15" t="s">
        <v>22</v>
      </c>
      <c r="E15" s="6">
        <v>4.1099999999999998E-2</v>
      </c>
      <c r="F15" s="6">
        <v>0.96699999999999997</v>
      </c>
      <c r="G15" s="7">
        <f t="shared" si="0"/>
        <v>235.27980535279806</v>
      </c>
    </row>
    <row r="16" spans="1:7" x14ac:dyDescent="0.4">
      <c r="C16" s="4" t="s">
        <v>12</v>
      </c>
      <c r="D16" t="s">
        <v>23</v>
      </c>
      <c r="E16" s="6">
        <v>2.69E-2</v>
      </c>
      <c r="F16" s="6">
        <v>0.442</v>
      </c>
      <c r="G16" s="7">
        <f t="shared" si="0"/>
        <v>164.31226765799255</v>
      </c>
    </row>
    <row r="17" spans="3:7" x14ac:dyDescent="0.4">
      <c r="C17" s="4" t="s">
        <v>12</v>
      </c>
      <c r="D17" t="s">
        <v>24</v>
      </c>
      <c r="E17" s="6">
        <v>5.4300000000000001E-2</v>
      </c>
      <c r="F17" s="6">
        <v>0.87</v>
      </c>
      <c r="G17" s="7">
        <f t="shared" si="0"/>
        <v>160.22099447513813</v>
      </c>
    </row>
    <row r="18" spans="3:7" x14ac:dyDescent="0.4">
      <c r="C18" s="4" t="s">
        <v>12</v>
      </c>
      <c r="D18" t="s">
        <v>25</v>
      </c>
      <c r="E18" s="6">
        <v>5.6399999999999999E-2</v>
      </c>
      <c r="F18" s="6">
        <v>0.93300000000000005</v>
      </c>
      <c r="G18" s="7">
        <f t="shared" si="0"/>
        <v>165.42553191489364</v>
      </c>
    </row>
    <row r="19" spans="3:7" x14ac:dyDescent="0.4">
      <c r="C19" s="4" t="s">
        <v>12</v>
      </c>
      <c r="D19" t="s">
        <v>26</v>
      </c>
      <c r="E19" s="6">
        <v>4.3700000000000003E-2</v>
      </c>
      <c r="F19" s="6">
        <v>1.2549999999999999</v>
      </c>
      <c r="G19" s="7">
        <f t="shared" si="0"/>
        <v>287.18535469107547</v>
      </c>
    </row>
    <row r="20" spans="3:7" x14ac:dyDescent="0.4">
      <c r="C20" s="4" t="s">
        <v>12</v>
      </c>
      <c r="D20" t="s">
        <v>27</v>
      </c>
      <c r="E20" s="6">
        <v>5.21E-2</v>
      </c>
      <c r="F20" s="6">
        <v>1.7070000000000001</v>
      </c>
      <c r="G20" s="7">
        <f t="shared" si="0"/>
        <v>327.63915547024953</v>
      </c>
    </row>
    <row r="21" spans="3:7" x14ac:dyDescent="0.4">
      <c r="C21" s="4" t="s">
        <v>12</v>
      </c>
      <c r="D21" t="s">
        <v>28</v>
      </c>
      <c r="E21" s="6">
        <v>5.79E-2</v>
      </c>
      <c r="F21" s="6">
        <v>0.995</v>
      </c>
      <c r="G21" s="7">
        <f t="shared" si="0"/>
        <v>171.84801381692574</v>
      </c>
    </row>
    <row r="22" spans="3:7" x14ac:dyDescent="0.4">
      <c r="C22" s="4" t="s">
        <v>12</v>
      </c>
      <c r="D22" t="s">
        <v>29</v>
      </c>
      <c r="E22" s="6">
        <v>5.2699999999999997E-2</v>
      </c>
      <c r="F22" s="6">
        <v>0.51700000000000002</v>
      </c>
      <c r="G22" s="7">
        <f t="shared" si="0"/>
        <v>98.102466793168887</v>
      </c>
    </row>
    <row r="23" spans="3:7" x14ac:dyDescent="0.4">
      <c r="C23" s="4" t="s">
        <v>12</v>
      </c>
      <c r="D23" t="s">
        <v>30</v>
      </c>
      <c r="E23" s="6">
        <v>4.9399999999999999E-2</v>
      </c>
      <c r="F23" s="6">
        <v>0.9</v>
      </c>
      <c r="G23" s="7">
        <f t="shared" si="0"/>
        <v>182.18623481781378</v>
      </c>
    </row>
    <row r="24" spans="3:7" x14ac:dyDescent="0.4">
      <c r="C24" s="4" t="s">
        <v>12</v>
      </c>
      <c r="D24" t="s">
        <v>31</v>
      </c>
      <c r="E24" s="6">
        <v>3.6999999999999998E-2</v>
      </c>
      <c r="F24" s="6">
        <v>1.1859</v>
      </c>
      <c r="G24" s="7">
        <f t="shared" si="0"/>
        <v>320.51351351351349</v>
      </c>
    </row>
    <row r="25" spans="3:7" x14ac:dyDescent="0.4">
      <c r="C25" s="4" t="s">
        <v>12</v>
      </c>
      <c r="D25" t="s">
        <v>32</v>
      </c>
      <c r="E25" s="6">
        <v>4.2000000000000003E-2</v>
      </c>
      <c r="F25" s="6">
        <v>7.7271999999999998</v>
      </c>
      <c r="G25" s="7">
        <f t="shared" si="0"/>
        <v>1839.8095238095239</v>
      </c>
    </row>
    <row r="26" spans="3:7" x14ac:dyDescent="0.4">
      <c r="C26" s="4" t="s">
        <v>12</v>
      </c>
      <c r="D26" t="s">
        <v>33</v>
      </c>
      <c r="E26" s="6">
        <v>4.5400000000000003E-2</v>
      </c>
      <c r="F26" s="6">
        <v>20.3659</v>
      </c>
      <c r="G26" s="7">
        <f t="shared" si="0"/>
        <v>4485.8810572687225</v>
      </c>
    </row>
    <row r="27" spans="3:7" x14ac:dyDescent="0.4">
      <c r="C27" s="4" t="s">
        <v>12</v>
      </c>
      <c r="D27" t="s">
        <v>34</v>
      </c>
      <c r="E27" s="6">
        <v>3.3099999999999997E-2</v>
      </c>
      <c r="F27" s="6">
        <v>9.7673000000000005</v>
      </c>
      <c r="G27" s="7">
        <f t="shared" si="0"/>
        <v>2950.8459214501518</v>
      </c>
    </row>
    <row r="28" spans="3:7" x14ac:dyDescent="0.4">
      <c r="C28" s="5" t="s">
        <v>12</v>
      </c>
      <c r="D28" t="s">
        <v>35</v>
      </c>
      <c r="E28" s="6">
        <v>3.8300000000000001E-2</v>
      </c>
      <c r="F28" s="6">
        <v>0.3629</v>
      </c>
      <c r="G28" s="7">
        <f t="shared" si="0"/>
        <v>94.751958224543088</v>
      </c>
    </row>
    <row r="29" spans="3:7" x14ac:dyDescent="0.4">
      <c r="C29" s="5" t="s">
        <v>12</v>
      </c>
      <c r="D29" t="s">
        <v>36</v>
      </c>
      <c r="E29" s="6">
        <v>7.0400000000000004E-2</v>
      </c>
      <c r="F29" s="6">
        <v>1.5906</v>
      </c>
      <c r="G29" s="7">
        <f t="shared" si="0"/>
        <v>225.9375</v>
      </c>
    </row>
    <row r="30" spans="3:7" x14ac:dyDescent="0.4">
      <c r="C30" s="5" t="s">
        <v>12</v>
      </c>
      <c r="D30" t="s">
        <v>37</v>
      </c>
      <c r="E30" s="6">
        <v>4.6600000000000003E-2</v>
      </c>
      <c r="F30" s="6">
        <v>1.7539</v>
      </c>
      <c r="G30" s="7">
        <f t="shared" si="0"/>
        <v>376.37339055793984</v>
      </c>
    </row>
    <row r="31" spans="3:7" x14ac:dyDescent="0.4">
      <c r="C31" s="5" t="s">
        <v>12</v>
      </c>
      <c r="D31" t="s">
        <v>38</v>
      </c>
      <c r="E31" s="6">
        <v>0.53200000000000003</v>
      </c>
      <c r="F31" s="6">
        <v>0.58089999999999997</v>
      </c>
      <c r="G31" s="7">
        <f t="shared" si="0"/>
        <v>10.919172932330826</v>
      </c>
    </row>
    <row r="32" spans="3:7" x14ac:dyDescent="0.4">
      <c r="C32" s="5" t="s">
        <v>12</v>
      </c>
      <c r="D32" t="s">
        <v>39</v>
      </c>
      <c r="E32" s="6">
        <v>4.6100000000000002E-2</v>
      </c>
      <c r="F32" s="6">
        <v>0.72450000000000003</v>
      </c>
      <c r="G32" s="7">
        <f t="shared" si="0"/>
        <v>157.15835140997831</v>
      </c>
    </row>
    <row r="33" spans="3:7" x14ac:dyDescent="0.4">
      <c r="C33" s="5" t="s">
        <v>12</v>
      </c>
      <c r="D33" t="s">
        <v>40</v>
      </c>
      <c r="E33" s="6">
        <v>5.0500000000000003E-2</v>
      </c>
      <c r="F33" s="6">
        <v>0.54530000000000001</v>
      </c>
      <c r="G33" s="7">
        <f t="shared" si="0"/>
        <v>107.98019801980197</v>
      </c>
    </row>
    <row r="34" spans="3:7" x14ac:dyDescent="0.4">
      <c r="C34" s="5" t="s">
        <v>12</v>
      </c>
      <c r="D34" t="s">
        <v>41</v>
      </c>
      <c r="E34" s="6">
        <v>5.2900000000000003E-2</v>
      </c>
      <c r="F34" s="6">
        <v>2.3898999999999999</v>
      </c>
      <c r="G34" s="7">
        <f t="shared" si="0"/>
        <v>451.77693761814743</v>
      </c>
    </row>
    <row r="35" spans="3:7" x14ac:dyDescent="0.4">
      <c r="C35" s="5" t="s">
        <v>7</v>
      </c>
      <c r="D35" t="s">
        <v>42</v>
      </c>
      <c r="E35" s="6">
        <v>2.5999999999999999E-2</v>
      </c>
      <c r="F35" s="6">
        <v>0.58860000000000001</v>
      </c>
      <c r="G35" s="7">
        <f t="shared" si="0"/>
        <v>226.38461538461542</v>
      </c>
    </row>
    <row r="36" spans="3:7" x14ac:dyDescent="0.4">
      <c r="C36" s="5" t="s">
        <v>7</v>
      </c>
      <c r="D36" t="s">
        <v>43</v>
      </c>
      <c r="E36" s="6">
        <v>2.86E-2</v>
      </c>
      <c r="F36" s="6">
        <v>1.417</v>
      </c>
      <c r="G36" s="7">
        <f t="shared" si="0"/>
        <v>495.4545454545455</v>
      </c>
    </row>
    <row r="37" spans="3:7" x14ac:dyDescent="0.4">
      <c r="C37" s="5" t="s">
        <v>7</v>
      </c>
      <c r="D37" t="s">
        <v>44</v>
      </c>
      <c r="E37" s="6">
        <v>2.3400000000000001E-2</v>
      </c>
      <c r="F37" s="6">
        <v>4.3708</v>
      </c>
      <c r="G37" s="7">
        <f t="shared" si="0"/>
        <v>1867.8632478632476</v>
      </c>
    </row>
    <row r="38" spans="3:7" x14ac:dyDescent="0.4">
      <c r="C38" s="5" t="s">
        <v>7</v>
      </c>
      <c r="D38" t="s">
        <v>45</v>
      </c>
      <c r="E38" s="6">
        <v>2.5499999999999998E-2</v>
      </c>
      <c r="F38" s="6">
        <v>0.74539999999999995</v>
      </c>
      <c r="G38" s="7">
        <f t="shared" si="0"/>
        <v>292.31372549019608</v>
      </c>
    </row>
    <row r="39" spans="3:7" x14ac:dyDescent="0.4">
      <c r="C39" s="5" t="s">
        <v>7</v>
      </c>
      <c r="D39" t="s">
        <v>46</v>
      </c>
      <c r="E39" s="6">
        <v>2.4799999999999999E-2</v>
      </c>
      <c r="F39" s="6">
        <v>1.0873999999999999</v>
      </c>
      <c r="G39" s="7">
        <f t="shared" si="0"/>
        <v>438.46774193548384</v>
      </c>
    </row>
    <row r="40" spans="3:7" x14ac:dyDescent="0.4">
      <c r="C40" s="5" t="s">
        <v>7</v>
      </c>
      <c r="D40" t="s">
        <v>47</v>
      </c>
      <c r="E40" s="6">
        <v>1.3599999999999999E-2</v>
      </c>
      <c r="F40" s="6">
        <v>1.2761</v>
      </c>
      <c r="G40" s="7">
        <f t="shared" si="0"/>
        <v>938.30882352941194</v>
      </c>
    </row>
    <row r="41" spans="3:7" x14ac:dyDescent="0.4">
      <c r="C41" s="5" t="s">
        <v>7</v>
      </c>
      <c r="D41" t="s">
        <v>48</v>
      </c>
      <c r="E41" s="6">
        <v>2.41E-2</v>
      </c>
      <c r="F41" s="6">
        <v>0.5968</v>
      </c>
      <c r="G41" s="7">
        <f t="shared" si="0"/>
        <v>247.63485477178423</v>
      </c>
    </row>
    <row r="42" spans="3:7" x14ac:dyDescent="0.4">
      <c r="C42" s="5" t="s">
        <v>7</v>
      </c>
      <c r="D42" t="s">
        <v>49</v>
      </c>
      <c r="E42" s="6">
        <v>1.77E-2</v>
      </c>
      <c r="F42" s="6">
        <v>1.0958000000000001</v>
      </c>
      <c r="G42" s="7">
        <f t="shared" si="0"/>
        <v>619.09604519774018</v>
      </c>
    </row>
    <row r="43" spans="3:7" x14ac:dyDescent="0.4">
      <c r="C43" s="5" t="s">
        <v>7</v>
      </c>
      <c r="D43" t="s">
        <v>50</v>
      </c>
      <c r="E43" s="6">
        <v>2.2200000000000001E-2</v>
      </c>
      <c r="F43" s="6">
        <v>0.5635</v>
      </c>
      <c r="G43" s="7">
        <f t="shared" si="0"/>
        <v>253.82882882882882</v>
      </c>
    </row>
    <row r="44" spans="3:7" x14ac:dyDescent="0.4">
      <c r="C44" s="5" t="s">
        <v>7</v>
      </c>
      <c r="D44" t="s">
        <v>51</v>
      </c>
      <c r="E44" s="6">
        <v>1.77E-2</v>
      </c>
      <c r="F44" s="6">
        <v>1.3914</v>
      </c>
      <c r="G44" s="7">
        <f t="shared" si="0"/>
        <v>786.10169491525426</v>
      </c>
    </row>
    <row r="45" spans="3:7" x14ac:dyDescent="0.4">
      <c r="C45" s="5" t="s">
        <v>12</v>
      </c>
      <c r="D45" t="s">
        <v>52</v>
      </c>
      <c r="E45" s="6">
        <v>4.82E-2</v>
      </c>
      <c r="F45" s="6">
        <v>0.503</v>
      </c>
      <c r="G45" s="7">
        <f t="shared" si="0"/>
        <v>104.35684647302905</v>
      </c>
    </row>
    <row r="46" spans="3:7" x14ac:dyDescent="0.4">
      <c r="C46" s="5" t="s">
        <v>12</v>
      </c>
      <c r="D46" t="s">
        <v>53</v>
      </c>
      <c r="E46" s="6">
        <v>3.0200000000000001E-2</v>
      </c>
      <c r="F46" s="6">
        <v>0.31850000000000001</v>
      </c>
      <c r="G46" s="7">
        <f t="shared" si="0"/>
        <v>105.4635761589404</v>
      </c>
    </row>
    <row r="47" spans="3:7" x14ac:dyDescent="0.4">
      <c r="C47" s="5" t="s">
        <v>12</v>
      </c>
      <c r="D47" t="s">
        <v>54</v>
      </c>
      <c r="E47" s="6">
        <v>4.2200000000000001E-2</v>
      </c>
      <c r="F47" s="6">
        <v>1.2418</v>
      </c>
      <c r="G47" s="7">
        <f t="shared" si="0"/>
        <v>294.26540284360192</v>
      </c>
    </row>
    <row r="48" spans="3:7" x14ac:dyDescent="0.4">
      <c r="C48" s="5" t="s">
        <v>12</v>
      </c>
      <c r="D48" t="s">
        <v>55</v>
      </c>
      <c r="E48" s="6">
        <v>4.0300000000000002E-2</v>
      </c>
      <c r="F48" s="6">
        <v>0.75109999999999999</v>
      </c>
      <c r="G48" s="7">
        <f t="shared" si="0"/>
        <v>186.37717121588088</v>
      </c>
    </row>
    <row r="49" spans="3:7" x14ac:dyDescent="0.4">
      <c r="C49" s="5" t="s">
        <v>12</v>
      </c>
      <c r="D49" t="s">
        <v>56</v>
      </c>
      <c r="E49" s="6">
        <v>5.0900000000000001E-2</v>
      </c>
      <c r="F49" s="6">
        <v>0.72040000000000004</v>
      </c>
      <c r="G49" s="7">
        <f t="shared" si="0"/>
        <v>141.53241650294694</v>
      </c>
    </row>
    <row r="50" spans="3:7" x14ac:dyDescent="0.4">
      <c r="C50" s="5" t="s">
        <v>7</v>
      </c>
      <c r="D50" t="s">
        <v>57</v>
      </c>
      <c r="E50" s="6">
        <v>2.0400000000000001E-2</v>
      </c>
      <c r="F50" s="6">
        <v>2.3721999999999999</v>
      </c>
      <c r="G50" s="7">
        <f t="shared" si="0"/>
        <v>1162.8431372549019</v>
      </c>
    </row>
    <row r="51" spans="3:7" x14ac:dyDescent="0.4">
      <c r="C51" s="5" t="s">
        <v>7</v>
      </c>
      <c r="D51" t="s">
        <v>58</v>
      </c>
      <c r="E51" s="6">
        <v>2.07E-2</v>
      </c>
      <c r="F51" s="6">
        <v>0.75639999999999996</v>
      </c>
      <c r="G51" s="7">
        <f t="shared" si="0"/>
        <v>365.41062801932361</v>
      </c>
    </row>
    <row r="52" spans="3:7" x14ac:dyDescent="0.4">
      <c r="C52" s="5" t="s">
        <v>7</v>
      </c>
      <c r="D52" t="s">
        <v>59</v>
      </c>
      <c r="E52" s="6">
        <v>2.0400000000000001E-2</v>
      </c>
      <c r="F52" s="6">
        <v>0.46160000000000001</v>
      </c>
      <c r="G52" s="7">
        <f t="shared" si="0"/>
        <v>226.27450980392155</v>
      </c>
    </row>
    <row r="53" spans="3:7" x14ac:dyDescent="0.4">
      <c r="C53" s="5" t="s">
        <v>7</v>
      </c>
      <c r="D53" t="s">
        <v>60</v>
      </c>
      <c r="E53" s="6">
        <v>2.01E-2</v>
      </c>
      <c r="F53" s="6">
        <v>1.5606</v>
      </c>
      <c r="G53" s="7">
        <f t="shared" si="0"/>
        <v>776.41791044776119</v>
      </c>
    </row>
    <row r="54" spans="3:7" x14ac:dyDescent="0.4">
      <c r="C54" s="5" t="s">
        <v>7</v>
      </c>
      <c r="D54" t="s">
        <v>61</v>
      </c>
      <c r="E54" s="6">
        <v>2.29E-2</v>
      </c>
      <c r="F54" s="6">
        <v>0.34520000000000001</v>
      </c>
      <c r="G54" s="7">
        <f t="shared" si="0"/>
        <v>150.74235807860262</v>
      </c>
    </row>
    <row r="55" spans="3:7" x14ac:dyDescent="0.4">
      <c r="C55" s="5" t="s">
        <v>12</v>
      </c>
      <c r="D55" t="s">
        <v>62</v>
      </c>
      <c r="E55" s="6">
        <v>6.9599999999999995E-2</v>
      </c>
      <c r="F55" s="6">
        <v>1.1301000000000001</v>
      </c>
      <c r="G55" s="7">
        <f t="shared" si="0"/>
        <v>162.37068965517244</v>
      </c>
    </row>
    <row r="56" spans="3:7" x14ac:dyDescent="0.4">
      <c r="C56" s="5" t="s">
        <v>12</v>
      </c>
      <c r="D56" t="s">
        <v>63</v>
      </c>
      <c r="E56" s="6">
        <v>4.7699999999999999E-2</v>
      </c>
      <c r="F56" s="6">
        <v>3.5173999999999999</v>
      </c>
      <c r="G56" s="7">
        <f t="shared" si="0"/>
        <v>737.40041928721166</v>
      </c>
    </row>
    <row r="57" spans="3:7" x14ac:dyDescent="0.4">
      <c r="C57" s="5" t="s">
        <v>12</v>
      </c>
      <c r="D57" t="s">
        <v>64</v>
      </c>
      <c r="E57" s="6">
        <v>2.8000000000000001E-2</v>
      </c>
      <c r="F57" s="6">
        <v>0.29310000000000003</v>
      </c>
      <c r="G57" s="7">
        <f t="shared" si="0"/>
        <v>104.67857142857143</v>
      </c>
    </row>
    <row r="58" spans="3:7" x14ac:dyDescent="0.4">
      <c r="C58" s="5" t="s">
        <v>12</v>
      </c>
      <c r="D58" t="s">
        <v>65</v>
      </c>
      <c r="E58" s="6">
        <v>4.53E-2</v>
      </c>
      <c r="F58" s="6">
        <v>2.3782999999999999</v>
      </c>
      <c r="G58" s="7">
        <f t="shared" si="0"/>
        <v>525.01103752759377</v>
      </c>
    </row>
    <row r="59" spans="3:7" x14ac:dyDescent="0.4">
      <c r="C59" s="5" t="s">
        <v>12</v>
      </c>
      <c r="D59" t="s">
        <v>66</v>
      </c>
      <c r="E59" s="6">
        <v>4.1500000000000002E-2</v>
      </c>
      <c r="F59" s="6">
        <v>2.0562999999999998</v>
      </c>
      <c r="G59" s="7">
        <f t="shared" si="0"/>
        <v>495.49397590361434</v>
      </c>
    </row>
    <row r="60" spans="3:7" x14ac:dyDescent="0.4">
      <c r="C60" s="5" t="s">
        <v>12</v>
      </c>
      <c r="D60" t="s">
        <v>67</v>
      </c>
      <c r="E60" s="6">
        <v>4.6100000000000002E-2</v>
      </c>
      <c r="F60" s="6">
        <v>1.41</v>
      </c>
      <c r="G60" s="7">
        <f t="shared" si="0"/>
        <v>305.85683297180037</v>
      </c>
    </row>
    <row r="61" spans="3:7" x14ac:dyDescent="0.4">
      <c r="C61" s="5" t="s">
        <v>12</v>
      </c>
      <c r="D61" t="s">
        <v>68</v>
      </c>
      <c r="E61" s="6">
        <v>4.3099999999999999E-2</v>
      </c>
      <c r="F61" s="6">
        <v>3.3435999999999999</v>
      </c>
      <c r="G61" s="7">
        <f t="shared" si="0"/>
        <v>775.7772621809745</v>
      </c>
    </row>
    <row r="62" spans="3:7" x14ac:dyDescent="0.4">
      <c r="C62" s="5" t="s">
        <v>12</v>
      </c>
      <c r="D62" t="s">
        <v>69</v>
      </c>
      <c r="E62" s="6">
        <v>3.6600000000000001E-2</v>
      </c>
      <c r="F62" s="6">
        <v>2.4205999999999999</v>
      </c>
      <c r="G62" s="7">
        <f t="shared" si="0"/>
        <v>661.36612021857911</v>
      </c>
    </row>
    <row r="63" spans="3:7" x14ac:dyDescent="0.4">
      <c r="C63" s="5" t="s">
        <v>7</v>
      </c>
      <c r="D63" t="s">
        <v>70</v>
      </c>
      <c r="E63" s="6">
        <v>2.4199999999999999E-2</v>
      </c>
      <c r="F63" s="6">
        <v>1.3895</v>
      </c>
      <c r="G63" s="7">
        <f t="shared" si="0"/>
        <v>574.17355371900828</v>
      </c>
    </row>
    <row r="64" spans="3:7" x14ac:dyDescent="0.4">
      <c r="C64" s="5" t="s">
        <v>7</v>
      </c>
      <c r="D64" t="s">
        <v>71</v>
      </c>
      <c r="E64" s="6">
        <v>2.3400000000000001E-2</v>
      </c>
      <c r="F64" s="6">
        <v>1.5834999999999999</v>
      </c>
      <c r="G64" s="7">
        <f t="shared" si="0"/>
        <v>676.70940170940173</v>
      </c>
    </row>
    <row r="65" spans="3:7" x14ac:dyDescent="0.4">
      <c r="C65" s="5" t="s">
        <v>7</v>
      </c>
      <c r="D65" t="s">
        <v>72</v>
      </c>
      <c r="E65" s="6">
        <v>2.5899999999999999E-2</v>
      </c>
      <c r="F65" s="6">
        <v>2.0903999999999998</v>
      </c>
      <c r="G65" s="7">
        <f t="shared" si="0"/>
        <v>807.10424710424707</v>
      </c>
    </row>
    <row r="66" spans="3:7" x14ac:dyDescent="0.4">
      <c r="C66" s="5" t="s">
        <v>12</v>
      </c>
      <c r="D66" t="s">
        <v>73</v>
      </c>
      <c r="E66" s="6">
        <v>4.7100000000000003E-2</v>
      </c>
      <c r="F66" s="6">
        <v>4.3319000000000001</v>
      </c>
      <c r="G66" s="7">
        <f t="shared" si="0"/>
        <v>919.72399150743104</v>
      </c>
    </row>
    <row r="67" spans="3:7" x14ac:dyDescent="0.4">
      <c r="C67" t="s">
        <v>12</v>
      </c>
      <c r="D67" t="s">
        <v>74</v>
      </c>
      <c r="E67" s="6">
        <v>6.7900000000000002E-2</v>
      </c>
      <c r="F67" s="6">
        <v>0.56510000000000005</v>
      </c>
      <c r="G67" s="7">
        <f t="shared" ref="G67:G118" si="1">(F67/E67)*10</f>
        <v>83.225331369661276</v>
      </c>
    </row>
    <row r="68" spans="3:7" x14ac:dyDescent="0.4">
      <c r="C68" t="s">
        <v>12</v>
      </c>
      <c r="D68" t="s">
        <v>75</v>
      </c>
      <c r="E68" s="6">
        <v>5.6399999999999999E-2</v>
      </c>
      <c r="F68" s="6">
        <v>2.3788</v>
      </c>
      <c r="G68" s="7">
        <f t="shared" si="1"/>
        <v>421.77304964539013</v>
      </c>
    </row>
    <row r="69" spans="3:7" x14ac:dyDescent="0.4">
      <c r="C69" t="s">
        <v>12</v>
      </c>
      <c r="D69" t="s">
        <v>76</v>
      </c>
      <c r="E69" s="6">
        <v>5.3800000000000001E-2</v>
      </c>
      <c r="F69" s="6">
        <v>1.4328000000000001</v>
      </c>
      <c r="G69" s="7">
        <f t="shared" si="1"/>
        <v>266.31970260223051</v>
      </c>
    </row>
    <row r="70" spans="3:7" x14ac:dyDescent="0.4">
      <c r="C70" t="s">
        <v>12</v>
      </c>
      <c r="D70" t="s">
        <v>77</v>
      </c>
      <c r="E70" s="6">
        <v>4.2999999999999997E-2</v>
      </c>
      <c r="F70" s="6">
        <v>3.1011000000000002</v>
      </c>
      <c r="G70" s="7">
        <f t="shared" si="1"/>
        <v>721.18604651162798</v>
      </c>
    </row>
    <row r="71" spans="3:7" x14ac:dyDescent="0.4">
      <c r="C71" t="s">
        <v>7</v>
      </c>
      <c r="D71" t="s">
        <v>78</v>
      </c>
      <c r="E71" s="6">
        <v>1.89E-2</v>
      </c>
      <c r="F71" s="6">
        <v>1.0768</v>
      </c>
      <c r="G71" s="7">
        <f t="shared" si="1"/>
        <v>569.73544973544972</v>
      </c>
    </row>
    <row r="72" spans="3:7" x14ac:dyDescent="0.4">
      <c r="C72" t="s">
        <v>7</v>
      </c>
      <c r="D72" t="s">
        <v>79</v>
      </c>
      <c r="E72" s="6">
        <v>2.5100000000000001E-2</v>
      </c>
      <c r="F72" s="6">
        <v>2.35</v>
      </c>
      <c r="G72" s="7">
        <f t="shared" si="1"/>
        <v>936.25498007968133</v>
      </c>
    </row>
    <row r="73" spans="3:7" x14ac:dyDescent="0.4">
      <c r="C73" t="s">
        <v>7</v>
      </c>
      <c r="D73" t="s">
        <v>80</v>
      </c>
      <c r="E73" s="6">
        <v>2.0400000000000001E-2</v>
      </c>
      <c r="F73" s="6">
        <v>1.7138</v>
      </c>
      <c r="G73" s="7">
        <f t="shared" si="1"/>
        <v>840.09803921568619</v>
      </c>
    </row>
    <row r="74" spans="3:7" x14ac:dyDescent="0.4">
      <c r="C74" t="s">
        <v>12</v>
      </c>
      <c r="D74" t="s">
        <v>81</v>
      </c>
      <c r="E74" s="6">
        <v>3.3799999999999997E-2</v>
      </c>
      <c r="F74" s="6">
        <v>0.50749999999999995</v>
      </c>
      <c r="G74" s="7">
        <f t="shared" si="1"/>
        <v>150.14792899408286</v>
      </c>
    </row>
    <row r="75" spans="3:7" x14ac:dyDescent="0.4">
      <c r="C75" t="s">
        <v>7</v>
      </c>
      <c r="D75" t="s">
        <v>82</v>
      </c>
      <c r="E75" s="6">
        <v>2.5899999999999999E-2</v>
      </c>
      <c r="F75" s="6">
        <v>2.7492000000000001</v>
      </c>
      <c r="G75" s="7">
        <f t="shared" si="1"/>
        <v>1061.4671814671815</v>
      </c>
    </row>
    <row r="76" spans="3:7" x14ac:dyDescent="0.4">
      <c r="C76" t="s">
        <v>7</v>
      </c>
      <c r="D76" t="s">
        <v>83</v>
      </c>
      <c r="E76" s="6">
        <v>2.58E-2</v>
      </c>
      <c r="F76" s="6">
        <v>1.5127999999999999</v>
      </c>
      <c r="G76" s="7">
        <f t="shared" si="1"/>
        <v>586.35658914728674</v>
      </c>
    </row>
    <row r="77" spans="3:7" x14ac:dyDescent="0.4">
      <c r="C77" t="s">
        <v>7</v>
      </c>
      <c r="D77" t="s">
        <v>84</v>
      </c>
      <c r="E77" s="6">
        <v>1.9199999999999998E-2</v>
      </c>
      <c r="F77" s="6">
        <v>1.7858000000000001</v>
      </c>
      <c r="G77" s="7">
        <f t="shared" si="1"/>
        <v>930.10416666666674</v>
      </c>
    </row>
    <row r="78" spans="3:7" x14ac:dyDescent="0.4">
      <c r="C78" t="s">
        <v>7</v>
      </c>
      <c r="D78" t="s">
        <v>85</v>
      </c>
      <c r="E78" s="6">
        <v>1.9300000000000001E-2</v>
      </c>
      <c r="F78" s="6">
        <v>1.5094000000000001</v>
      </c>
      <c r="G78" s="7">
        <f t="shared" si="1"/>
        <v>782.07253886010358</v>
      </c>
    </row>
    <row r="79" spans="3:7" x14ac:dyDescent="0.4">
      <c r="C79" t="s">
        <v>7</v>
      </c>
      <c r="D79" t="s">
        <v>86</v>
      </c>
      <c r="E79" s="6">
        <v>2.24E-2</v>
      </c>
      <c r="F79" s="6">
        <v>1.7090000000000001</v>
      </c>
      <c r="G79" s="7">
        <f t="shared" si="1"/>
        <v>762.94642857142867</v>
      </c>
    </row>
    <row r="80" spans="3:7" x14ac:dyDescent="0.4">
      <c r="C80" t="s">
        <v>7</v>
      </c>
      <c r="D80" t="s">
        <v>87</v>
      </c>
      <c r="E80" s="6">
        <v>2.0799999999999999E-2</v>
      </c>
      <c r="F80" s="6">
        <v>1.5465</v>
      </c>
      <c r="G80" s="7">
        <f t="shared" si="1"/>
        <v>743.50961538461547</v>
      </c>
    </row>
    <row r="81" spans="3:7" x14ac:dyDescent="0.4">
      <c r="C81" t="s">
        <v>7</v>
      </c>
      <c r="D81" t="s">
        <v>88</v>
      </c>
      <c r="E81" s="6">
        <v>2.3E-2</v>
      </c>
      <c r="F81" s="6">
        <v>2.3010000000000002</v>
      </c>
      <c r="G81" s="7">
        <f t="shared" si="1"/>
        <v>1000.4347826086957</v>
      </c>
    </row>
    <row r="82" spans="3:7" x14ac:dyDescent="0.4">
      <c r="C82" t="s">
        <v>12</v>
      </c>
      <c r="D82" t="s">
        <v>89</v>
      </c>
      <c r="E82" s="6">
        <v>5.3100000000000001E-2</v>
      </c>
      <c r="F82" s="6">
        <v>0.36059999999999998</v>
      </c>
      <c r="G82" s="7">
        <f t="shared" si="1"/>
        <v>67.909604519774007</v>
      </c>
    </row>
    <row r="83" spans="3:7" x14ac:dyDescent="0.4">
      <c r="C83" t="s">
        <v>12</v>
      </c>
      <c r="D83" t="s">
        <v>90</v>
      </c>
      <c r="E83" s="6">
        <v>6.4500000000000002E-2</v>
      </c>
      <c r="F83" s="6">
        <v>3.7366000000000001</v>
      </c>
      <c r="G83" s="7">
        <f t="shared" si="1"/>
        <v>579.31782945736438</v>
      </c>
    </row>
    <row r="84" spans="3:7" x14ac:dyDescent="0.4">
      <c r="C84" t="s">
        <v>12</v>
      </c>
      <c r="D84" t="s">
        <v>91</v>
      </c>
      <c r="E84" s="6">
        <v>3.5999999999999997E-2</v>
      </c>
      <c r="F84" s="6">
        <v>0.71240000000000003</v>
      </c>
      <c r="G84" s="7">
        <f t="shared" si="1"/>
        <v>197.88888888888891</v>
      </c>
    </row>
    <row r="85" spans="3:7" x14ac:dyDescent="0.4">
      <c r="C85" t="s">
        <v>12</v>
      </c>
      <c r="D85" t="s">
        <v>92</v>
      </c>
      <c r="E85" s="6">
        <v>3.8600000000000002E-2</v>
      </c>
      <c r="F85" s="6">
        <v>2.6901000000000002</v>
      </c>
      <c r="G85" s="7">
        <f t="shared" si="1"/>
        <v>696.9170984455958</v>
      </c>
    </row>
    <row r="86" spans="3:7" x14ac:dyDescent="0.4">
      <c r="C86" t="s">
        <v>12</v>
      </c>
      <c r="D86" t="s">
        <v>93</v>
      </c>
      <c r="E86" s="6">
        <v>5.4300000000000001E-2</v>
      </c>
      <c r="F86" s="6">
        <v>1.5005999999999999</v>
      </c>
      <c r="G86" s="7">
        <f t="shared" si="1"/>
        <v>276.35359116022096</v>
      </c>
    </row>
    <row r="87" spans="3:7" x14ac:dyDescent="0.4">
      <c r="C87" t="s">
        <v>12</v>
      </c>
      <c r="D87" t="s">
        <v>94</v>
      </c>
      <c r="E87" s="6">
        <v>0.22</v>
      </c>
      <c r="F87" s="6">
        <v>2.3245</v>
      </c>
      <c r="G87" s="7">
        <f t="shared" si="1"/>
        <v>105.65909090909091</v>
      </c>
    </row>
    <row r="88" spans="3:7" x14ac:dyDescent="0.4">
      <c r="C88" t="s">
        <v>7</v>
      </c>
      <c r="D88" t="s">
        <v>95</v>
      </c>
      <c r="E88" s="6">
        <v>2.12E-2</v>
      </c>
      <c r="F88" s="6">
        <v>1.1646000000000001</v>
      </c>
      <c r="G88" s="7">
        <f t="shared" si="1"/>
        <v>549.33962264150955</v>
      </c>
    </row>
    <row r="89" spans="3:7" x14ac:dyDescent="0.4">
      <c r="C89" t="s">
        <v>7</v>
      </c>
      <c r="D89" t="s">
        <v>96</v>
      </c>
      <c r="E89" s="6">
        <v>2.2200000000000001E-2</v>
      </c>
      <c r="F89" s="6">
        <v>0.8337</v>
      </c>
      <c r="G89" s="7">
        <f t="shared" si="1"/>
        <v>375.54054054054052</v>
      </c>
    </row>
    <row r="90" spans="3:7" x14ac:dyDescent="0.4">
      <c r="C90" t="s">
        <v>7</v>
      </c>
      <c r="D90" t="s">
        <v>97</v>
      </c>
      <c r="E90" s="6">
        <v>2.35E-2</v>
      </c>
      <c r="F90" s="6">
        <v>2.8546</v>
      </c>
      <c r="G90" s="7">
        <f t="shared" si="1"/>
        <v>1214.7234042553191</v>
      </c>
    </row>
    <row r="91" spans="3:7" x14ac:dyDescent="0.4">
      <c r="C91" t="s">
        <v>7</v>
      </c>
      <c r="D91" t="s">
        <v>98</v>
      </c>
      <c r="E91" s="6">
        <v>2.18E-2</v>
      </c>
      <c r="F91" s="6">
        <v>0.48580000000000001</v>
      </c>
      <c r="G91" s="7">
        <f t="shared" si="1"/>
        <v>222.8440366972477</v>
      </c>
    </row>
    <row r="92" spans="3:7" x14ac:dyDescent="0.4">
      <c r="C92" t="s">
        <v>7</v>
      </c>
      <c r="D92" t="s">
        <v>99</v>
      </c>
      <c r="E92" s="6">
        <v>2.2200000000000001E-2</v>
      </c>
      <c r="F92" s="6">
        <v>0.61399999999999999</v>
      </c>
      <c r="G92" s="7">
        <f t="shared" si="1"/>
        <v>276.57657657657654</v>
      </c>
    </row>
    <row r="93" spans="3:7" x14ac:dyDescent="0.4">
      <c r="C93" t="s">
        <v>12</v>
      </c>
      <c r="D93" t="s">
        <v>100</v>
      </c>
      <c r="E93" s="6">
        <v>3.9199999999999999E-2</v>
      </c>
      <c r="F93" s="6">
        <v>1.6675</v>
      </c>
      <c r="G93" s="7">
        <f t="shared" si="1"/>
        <v>425.38265306122446</v>
      </c>
    </row>
    <row r="94" spans="3:7" x14ac:dyDescent="0.4">
      <c r="C94" t="s">
        <v>12</v>
      </c>
      <c r="D94" t="s">
        <v>101</v>
      </c>
      <c r="E94" s="6">
        <v>6.3799999999999996E-2</v>
      </c>
      <c r="F94" s="6">
        <v>0.89459999999999995</v>
      </c>
      <c r="G94" s="7">
        <f t="shared" si="1"/>
        <v>140.2194357366771</v>
      </c>
    </row>
    <row r="95" spans="3:7" x14ac:dyDescent="0.4">
      <c r="C95" t="s">
        <v>7</v>
      </c>
      <c r="D95" t="s">
        <v>102</v>
      </c>
      <c r="E95" s="6">
        <v>3.8300000000000001E-2</v>
      </c>
      <c r="F95" s="6">
        <v>0.32729999999999998</v>
      </c>
      <c r="G95" s="7">
        <f t="shared" si="1"/>
        <v>85.456919060052201</v>
      </c>
    </row>
    <row r="96" spans="3:7" x14ac:dyDescent="0.4">
      <c r="C96" t="s">
        <v>12</v>
      </c>
      <c r="D96" t="s">
        <v>103</v>
      </c>
      <c r="E96" s="6">
        <v>2.8899999999999999E-2</v>
      </c>
      <c r="F96" s="6">
        <v>0.79400000000000004</v>
      </c>
      <c r="G96" s="7">
        <f t="shared" si="1"/>
        <v>274.74048442906576</v>
      </c>
    </row>
    <row r="97" spans="3:7" x14ac:dyDescent="0.4">
      <c r="C97" t="s">
        <v>12</v>
      </c>
      <c r="D97" t="s">
        <v>104</v>
      </c>
      <c r="E97" s="6">
        <v>4.53E-2</v>
      </c>
      <c r="F97" s="6">
        <v>2.1023000000000001</v>
      </c>
      <c r="G97" s="7">
        <f t="shared" si="1"/>
        <v>464.083885209713</v>
      </c>
    </row>
    <row r="98" spans="3:7" x14ac:dyDescent="0.4">
      <c r="C98" t="s">
        <v>12</v>
      </c>
      <c r="D98" t="s">
        <v>105</v>
      </c>
      <c r="E98" s="6">
        <v>5.79E-2</v>
      </c>
      <c r="F98" s="6">
        <v>0.33040000000000003</v>
      </c>
      <c r="G98" s="7">
        <f t="shared" si="1"/>
        <v>57.063903281519863</v>
      </c>
    </row>
    <row r="99" spans="3:7" x14ac:dyDescent="0.4">
      <c r="C99" t="s">
        <v>12</v>
      </c>
      <c r="D99" t="s">
        <v>106</v>
      </c>
      <c r="E99" s="6">
        <v>4.7399999999999998E-2</v>
      </c>
      <c r="F99" s="6">
        <v>0.72570000000000001</v>
      </c>
      <c r="G99" s="7">
        <f t="shared" si="1"/>
        <v>153.10126582278482</v>
      </c>
    </row>
    <row r="100" spans="3:7" x14ac:dyDescent="0.4">
      <c r="C100" t="s">
        <v>7</v>
      </c>
      <c r="D100" t="s">
        <v>107</v>
      </c>
      <c r="E100" s="6">
        <v>2.4899999999999999E-2</v>
      </c>
      <c r="F100" s="6">
        <v>2.3450000000000002</v>
      </c>
      <c r="G100" s="7">
        <f t="shared" si="1"/>
        <v>941.76706827309249</v>
      </c>
    </row>
    <row r="101" spans="3:7" x14ac:dyDescent="0.4">
      <c r="C101" t="s">
        <v>12</v>
      </c>
      <c r="D101" t="s">
        <v>108</v>
      </c>
      <c r="E101" s="6">
        <v>2.86E-2</v>
      </c>
      <c r="F101" s="6">
        <v>0.95150000000000001</v>
      </c>
      <c r="G101" s="7">
        <f t="shared" si="1"/>
        <v>332.69230769230768</v>
      </c>
    </row>
    <row r="102" spans="3:7" x14ac:dyDescent="0.4">
      <c r="C102" t="s">
        <v>7</v>
      </c>
      <c r="D102" t="s">
        <v>109</v>
      </c>
      <c r="E102" s="6">
        <v>2.3800000000000002E-2</v>
      </c>
      <c r="F102" s="6">
        <v>0.92579999999999996</v>
      </c>
      <c r="G102" s="7">
        <f t="shared" si="1"/>
        <v>388.99159663865538</v>
      </c>
    </row>
    <row r="103" spans="3:7" x14ac:dyDescent="0.4">
      <c r="C103" t="s">
        <v>12</v>
      </c>
      <c r="D103" t="s">
        <v>110</v>
      </c>
      <c r="E103" s="6">
        <v>5.2600000000000001E-2</v>
      </c>
      <c r="F103" s="6">
        <v>0.66469999999999996</v>
      </c>
      <c r="G103" s="7">
        <f t="shared" si="1"/>
        <v>126.36882129277566</v>
      </c>
    </row>
    <row r="104" spans="3:7" x14ac:dyDescent="0.4">
      <c r="C104" t="s">
        <v>12</v>
      </c>
      <c r="D104" t="s">
        <v>111</v>
      </c>
      <c r="E104" s="6">
        <v>4.1099999999999998E-2</v>
      </c>
      <c r="F104" s="6">
        <v>0.1888</v>
      </c>
      <c r="G104" s="7">
        <f t="shared" si="1"/>
        <v>45.93673965936739</v>
      </c>
    </row>
    <row r="105" spans="3:7" x14ac:dyDescent="0.4">
      <c r="C105" t="s">
        <v>12</v>
      </c>
      <c r="D105" t="s">
        <v>112</v>
      </c>
      <c r="E105" s="6">
        <v>6.3899999999999998E-2</v>
      </c>
      <c r="F105" s="6">
        <v>1.0243</v>
      </c>
      <c r="G105" s="7">
        <f t="shared" si="1"/>
        <v>160.29733959311426</v>
      </c>
    </row>
    <row r="106" spans="3:7" x14ac:dyDescent="0.4">
      <c r="C106" t="s">
        <v>12</v>
      </c>
      <c r="D106" t="s">
        <v>113</v>
      </c>
      <c r="E106" s="6">
        <v>4.0300000000000002E-2</v>
      </c>
      <c r="F106" s="6">
        <v>0.65969999999999995</v>
      </c>
      <c r="G106" s="7">
        <f t="shared" si="1"/>
        <v>163.69727047146398</v>
      </c>
    </row>
    <row r="107" spans="3:7" x14ac:dyDescent="0.4">
      <c r="C107" t="s">
        <v>12</v>
      </c>
      <c r="D107" t="s">
        <v>114</v>
      </c>
      <c r="E107" s="6">
        <v>2.9600000000000001E-2</v>
      </c>
      <c r="F107" s="6">
        <v>1.9863999999999999</v>
      </c>
      <c r="G107" s="7">
        <f t="shared" si="1"/>
        <v>671.08108108108104</v>
      </c>
    </row>
    <row r="108" spans="3:7" x14ac:dyDescent="0.4">
      <c r="C108" t="s">
        <v>12</v>
      </c>
      <c r="D108" t="s">
        <v>115</v>
      </c>
      <c r="E108" s="6">
        <v>4.8800000000000003E-2</v>
      </c>
      <c r="F108" s="6">
        <v>1.1352</v>
      </c>
      <c r="G108" s="7">
        <f t="shared" si="1"/>
        <v>232.6229508196721</v>
      </c>
    </row>
    <row r="109" spans="3:7" x14ac:dyDescent="0.4">
      <c r="C109" t="s">
        <v>12</v>
      </c>
      <c r="D109" t="s">
        <v>116</v>
      </c>
      <c r="E109" s="6">
        <v>5.8299999999999998E-2</v>
      </c>
      <c r="F109" s="6">
        <v>0.7661</v>
      </c>
      <c r="G109" s="7">
        <f t="shared" si="1"/>
        <v>131.40651801029159</v>
      </c>
    </row>
    <row r="110" spans="3:7" x14ac:dyDescent="0.4">
      <c r="C110" t="s">
        <v>12</v>
      </c>
      <c r="D110" t="s">
        <v>117</v>
      </c>
      <c r="E110" s="6">
        <v>5.8400000000000001E-2</v>
      </c>
      <c r="F110" s="6">
        <v>0.98880000000000001</v>
      </c>
      <c r="G110" s="7">
        <f t="shared" si="1"/>
        <v>169.31506849315068</v>
      </c>
    </row>
    <row r="111" spans="3:7" x14ac:dyDescent="0.4">
      <c r="C111" t="s">
        <v>12</v>
      </c>
      <c r="D111" t="s">
        <v>118</v>
      </c>
      <c r="E111" s="6">
        <v>5.0299999999999997E-2</v>
      </c>
      <c r="F111" s="6">
        <v>0.99739999999999995</v>
      </c>
      <c r="G111" s="7">
        <f t="shared" si="1"/>
        <v>198.29025844930416</v>
      </c>
    </row>
    <row r="112" spans="3:7" x14ac:dyDescent="0.4">
      <c r="C112" t="s">
        <v>12</v>
      </c>
      <c r="D112" t="s">
        <v>119</v>
      </c>
      <c r="E112" s="6">
        <v>4.65E-2</v>
      </c>
      <c r="F112" s="6">
        <v>0.58909999999999996</v>
      </c>
      <c r="G112" s="7">
        <f t="shared" si="1"/>
        <v>126.68817204301075</v>
      </c>
    </row>
    <row r="113" spans="3:7" x14ac:dyDescent="0.4">
      <c r="C113" t="s">
        <v>12</v>
      </c>
      <c r="D113" t="s">
        <v>120</v>
      </c>
      <c r="E113" s="6">
        <v>4.4900000000000002E-2</v>
      </c>
      <c r="F113" s="6">
        <v>0.47489999999999999</v>
      </c>
      <c r="G113" s="7">
        <f t="shared" si="1"/>
        <v>105.76837416481068</v>
      </c>
    </row>
    <row r="114" spans="3:7" x14ac:dyDescent="0.4">
      <c r="C114" t="s">
        <v>12</v>
      </c>
      <c r="D114" t="s">
        <v>121</v>
      </c>
      <c r="E114" s="6">
        <v>4.7500000000000001E-2</v>
      </c>
      <c r="F114" s="6">
        <v>0.75839999999999996</v>
      </c>
      <c r="G114" s="7">
        <f t="shared" si="1"/>
        <v>159.66315789473683</v>
      </c>
    </row>
    <row r="115" spans="3:7" x14ac:dyDescent="0.4">
      <c r="C115" t="s">
        <v>12</v>
      </c>
      <c r="D115" t="s">
        <v>122</v>
      </c>
      <c r="E115" s="6">
        <v>4.2000000000000003E-2</v>
      </c>
      <c r="F115" s="6">
        <v>1.2488999999999999</v>
      </c>
      <c r="G115" s="7">
        <f t="shared" si="1"/>
        <v>297.35714285714278</v>
      </c>
    </row>
    <row r="116" spans="3:7" x14ac:dyDescent="0.4">
      <c r="C116" t="s">
        <v>12</v>
      </c>
      <c r="D116" t="s">
        <v>123</v>
      </c>
      <c r="E116" s="6">
        <v>3.4200000000000001E-2</v>
      </c>
      <c r="F116" s="6">
        <v>2.4573999999999998</v>
      </c>
      <c r="G116" s="7">
        <f t="shared" si="1"/>
        <v>718.53801169590633</v>
      </c>
    </row>
    <row r="117" spans="3:7" x14ac:dyDescent="0.4">
      <c r="C117" t="s">
        <v>12</v>
      </c>
      <c r="D117" t="s">
        <v>124</v>
      </c>
      <c r="E117" s="6">
        <v>2.3599999999999999E-2</v>
      </c>
      <c r="F117" s="6">
        <v>0.4299</v>
      </c>
      <c r="G117" s="7">
        <f t="shared" si="1"/>
        <v>182.16101694915255</v>
      </c>
    </row>
    <row r="118" spans="3:7" x14ac:dyDescent="0.4">
      <c r="C118" t="s">
        <v>12</v>
      </c>
      <c r="D118" t="s">
        <v>125</v>
      </c>
      <c r="E118" s="6">
        <v>6.1400000000000003E-2</v>
      </c>
      <c r="F118" s="6">
        <v>1.0245</v>
      </c>
      <c r="G118" s="7">
        <f t="shared" si="1"/>
        <v>166.85667752442995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090E-F093-3F4B-9D73-5C1DDE79924E}">
  <dimension ref="A1:V118"/>
  <sheetViews>
    <sheetView tabSelected="1" workbookViewId="0">
      <selection activeCell="I1" sqref="I1:J1048576"/>
    </sheetView>
  </sheetViews>
  <sheetFormatPr defaultColWidth="10.6640625" defaultRowHeight="16" x14ac:dyDescent="0.4"/>
  <sheetData>
    <row r="1" spans="1:22" ht="73" x14ac:dyDescent="0.4">
      <c r="A1" s="2" t="s">
        <v>0</v>
      </c>
      <c r="B1" s="2" t="s">
        <v>126</v>
      </c>
      <c r="C1" s="1" t="s">
        <v>1</v>
      </c>
      <c r="D1" s="2" t="s">
        <v>2</v>
      </c>
      <c r="E1" s="2" t="s">
        <v>3</v>
      </c>
      <c r="F1" s="2" t="s">
        <v>196</v>
      </c>
      <c r="G1" s="2" t="s">
        <v>198</v>
      </c>
      <c r="H1" s="2" t="s">
        <v>204</v>
      </c>
      <c r="I1" s="2" t="s">
        <v>218</v>
      </c>
      <c r="J1" s="2" t="s">
        <v>219</v>
      </c>
      <c r="K1" s="1" t="s">
        <v>127</v>
      </c>
      <c r="L1" s="1" t="s">
        <v>185</v>
      </c>
      <c r="M1" s="1" t="s">
        <v>431</v>
      </c>
      <c r="N1" s="1" t="s">
        <v>128</v>
      </c>
      <c r="O1" s="1" t="s">
        <v>203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184</v>
      </c>
      <c r="V1" s="9" t="s">
        <v>134</v>
      </c>
    </row>
    <row r="2" spans="1:22" x14ac:dyDescent="0.4">
      <c r="A2" t="s">
        <v>135</v>
      </c>
      <c r="B2" t="s">
        <v>136</v>
      </c>
      <c r="C2" s="10">
        <v>44662</v>
      </c>
      <c r="D2" t="s">
        <v>7</v>
      </c>
      <c r="E2" t="s">
        <v>8</v>
      </c>
      <c r="F2" t="s">
        <v>202</v>
      </c>
      <c r="G2" t="s">
        <v>199</v>
      </c>
      <c r="H2" t="s">
        <v>186</v>
      </c>
      <c r="I2" t="s">
        <v>186</v>
      </c>
      <c r="J2" t="s">
        <v>186</v>
      </c>
      <c r="K2" t="s">
        <v>137</v>
      </c>
      <c r="L2" s="7">
        <v>14.440433212996391</v>
      </c>
      <c r="M2" s="6">
        <v>2.7699999999999999E-2</v>
      </c>
      <c r="N2" s="6">
        <v>0.04</v>
      </c>
      <c r="O2">
        <v>1</v>
      </c>
      <c r="P2">
        <v>0.04</v>
      </c>
      <c r="Q2" s="11">
        <v>3.7</v>
      </c>
      <c r="R2" s="11">
        <v>2.1</v>
      </c>
      <c r="S2">
        <v>0</v>
      </c>
      <c r="T2">
        <v>15</v>
      </c>
      <c r="U2">
        <v>15</v>
      </c>
      <c r="V2" s="11">
        <v>0</v>
      </c>
    </row>
    <row r="3" spans="1:22" ht="32" x14ac:dyDescent="0.4">
      <c r="A3" t="s">
        <v>135</v>
      </c>
      <c r="B3" t="s">
        <v>136</v>
      </c>
      <c r="C3" s="10">
        <v>44662</v>
      </c>
      <c r="D3" t="s">
        <v>7</v>
      </c>
      <c r="E3" t="s">
        <v>9</v>
      </c>
      <c r="F3" t="s">
        <v>202</v>
      </c>
      <c r="G3" t="s">
        <v>199</v>
      </c>
      <c r="H3" t="s">
        <v>205</v>
      </c>
      <c r="I3" s="12" t="s">
        <v>432</v>
      </c>
      <c r="J3" s="12" t="s">
        <v>433</v>
      </c>
      <c r="K3" t="s">
        <v>138</v>
      </c>
      <c r="L3" s="7">
        <v>48.11715481171548</v>
      </c>
      <c r="M3" s="6">
        <v>2.3900000000000001E-2</v>
      </c>
      <c r="N3" s="6">
        <v>0.115</v>
      </c>
      <c r="O3">
        <v>4</v>
      </c>
      <c r="P3">
        <v>2.8750000000000001E-2</v>
      </c>
      <c r="Q3" s="11">
        <v>1.9249999999999998</v>
      </c>
      <c r="R3" s="11">
        <v>1.6625000000000001</v>
      </c>
      <c r="S3">
        <v>50</v>
      </c>
      <c r="T3">
        <v>3</v>
      </c>
      <c r="U3">
        <v>53</v>
      </c>
      <c r="V3" s="11">
        <v>1.0391304347826087</v>
      </c>
    </row>
    <row r="4" spans="1:22" ht="32" x14ac:dyDescent="0.4">
      <c r="A4" t="s">
        <v>135</v>
      </c>
      <c r="B4" t="s">
        <v>136</v>
      </c>
      <c r="C4" s="10">
        <v>44662</v>
      </c>
      <c r="D4" t="s">
        <v>7</v>
      </c>
      <c r="E4" t="s">
        <v>10</v>
      </c>
      <c r="F4" t="s">
        <v>202</v>
      </c>
      <c r="G4" t="s">
        <v>199</v>
      </c>
      <c r="H4">
        <v>16</v>
      </c>
      <c r="I4" s="12" t="s">
        <v>434</v>
      </c>
      <c r="J4" s="12" t="s">
        <v>435</v>
      </c>
      <c r="K4" t="s">
        <v>137</v>
      </c>
      <c r="L4" s="7">
        <v>16.346153846153847</v>
      </c>
      <c r="M4" s="6">
        <v>2.0799999999999999E-2</v>
      </c>
      <c r="N4" s="6">
        <v>3.4000000000000002E-2</v>
      </c>
      <c r="O4">
        <v>4</v>
      </c>
      <c r="P4">
        <v>8.5000000000000006E-3</v>
      </c>
      <c r="Q4" s="11">
        <v>1.9249999999999998</v>
      </c>
      <c r="R4" s="11">
        <v>1.6</v>
      </c>
      <c r="S4">
        <v>12</v>
      </c>
      <c r="T4">
        <v>6</v>
      </c>
      <c r="U4">
        <v>18</v>
      </c>
      <c r="V4" s="11">
        <v>0.73411764705882399</v>
      </c>
    </row>
    <row r="5" spans="1:22" ht="32" x14ac:dyDescent="0.4">
      <c r="A5" t="s">
        <v>135</v>
      </c>
      <c r="B5" t="s">
        <v>136</v>
      </c>
      <c r="C5" s="10">
        <v>44662</v>
      </c>
      <c r="D5" t="s">
        <v>7</v>
      </c>
      <c r="E5" t="s">
        <v>11</v>
      </c>
      <c r="F5" t="s">
        <v>202</v>
      </c>
      <c r="G5" t="s">
        <v>199</v>
      </c>
      <c r="H5">
        <v>120</v>
      </c>
      <c r="I5" s="12" t="s">
        <v>436</v>
      </c>
      <c r="J5" s="12" t="s">
        <v>437</v>
      </c>
      <c r="K5" t="s">
        <v>137</v>
      </c>
      <c r="L5" s="7">
        <v>85.761589403973502</v>
      </c>
      <c r="M5" s="6">
        <v>3.0200000000000001E-2</v>
      </c>
      <c r="N5" s="6">
        <v>0.25900000000000001</v>
      </c>
      <c r="O5">
        <v>9</v>
      </c>
      <c r="P5">
        <v>2.8777777777777777E-2</v>
      </c>
      <c r="Q5" s="11">
        <v>2.2000000000000002</v>
      </c>
      <c r="R5" s="11">
        <v>1.5416666666666667</v>
      </c>
      <c r="S5">
        <v>83</v>
      </c>
      <c r="T5">
        <v>7</v>
      </c>
      <c r="U5">
        <v>90</v>
      </c>
      <c r="V5" s="11">
        <v>92.2222222222222</v>
      </c>
    </row>
    <row r="6" spans="1:22" x14ac:dyDescent="0.4">
      <c r="A6" t="s">
        <v>139</v>
      </c>
      <c r="B6" t="s">
        <v>140</v>
      </c>
      <c r="C6" s="10">
        <v>44831</v>
      </c>
      <c r="D6" s="4" t="s">
        <v>12</v>
      </c>
      <c r="E6" t="s">
        <v>13</v>
      </c>
      <c r="F6" t="s">
        <v>202</v>
      </c>
      <c r="G6" t="s">
        <v>199</v>
      </c>
      <c r="H6">
        <v>100</v>
      </c>
      <c r="I6" s="4" t="s">
        <v>438</v>
      </c>
      <c r="J6" s="4" t="s">
        <v>439</v>
      </c>
      <c r="K6" t="s">
        <v>138</v>
      </c>
      <c r="L6" s="7">
        <v>222.82398452611216</v>
      </c>
      <c r="M6" s="6">
        <v>5.1700000000000003E-2</v>
      </c>
      <c r="N6" s="6">
        <v>1.1519999999999999</v>
      </c>
      <c r="O6">
        <v>12</v>
      </c>
      <c r="P6">
        <v>9.5999999999999988E-2</v>
      </c>
      <c r="Q6" s="11">
        <v>2.0958333333333337</v>
      </c>
      <c r="R6" s="11">
        <v>1.9416666666666671</v>
      </c>
      <c r="S6">
        <v>22</v>
      </c>
      <c r="T6">
        <v>16</v>
      </c>
      <c r="U6">
        <v>100</v>
      </c>
      <c r="V6" s="11">
        <v>84</v>
      </c>
    </row>
    <row r="7" spans="1:22" x14ac:dyDescent="0.4">
      <c r="A7" t="s">
        <v>139</v>
      </c>
      <c r="B7" t="s">
        <v>140</v>
      </c>
      <c r="C7" s="10">
        <v>44831</v>
      </c>
      <c r="D7" s="4" t="s">
        <v>12</v>
      </c>
      <c r="E7" t="s">
        <v>14</v>
      </c>
      <c r="F7" t="s">
        <v>202</v>
      </c>
      <c r="G7" t="s">
        <v>199</v>
      </c>
      <c r="H7">
        <v>100</v>
      </c>
      <c r="I7" s="4" t="s">
        <v>440</v>
      </c>
      <c r="J7" s="4" t="s">
        <v>441</v>
      </c>
      <c r="K7" t="s">
        <v>138</v>
      </c>
      <c r="L7" s="7">
        <v>175.31914893617022</v>
      </c>
      <c r="M7" s="6">
        <v>4.7E-2</v>
      </c>
      <c r="N7" s="6">
        <v>0.82399999999999995</v>
      </c>
      <c r="O7">
        <v>9</v>
      </c>
      <c r="P7">
        <v>9.1555555555555557E-2</v>
      </c>
      <c r="Q7" s="11">
        <v>1.8222222222222224</v>
      </c>
      <c r="R7" s="11">
        <v>1.8722222222222225</v>
      </c>
      <c r="S7">
        <v>92</v>
      </c>
      <c r="T7">
        <v>8</v>
      </c>
      <c r="U7">
        <v>100</v>
      </c>
      <c r="V7" s="11">
        <v>92</v>
      </c>
    </row>
    <row r="8" spans="1:22" x14ac:dyDescent="0.4">
      <c r="A8" t="s">
        <v>139</v>
      </c>
      <c r="B8" t="s">
        <v>141</v>
      </c>
      <c r="C8" s="10">
        <v>44858</v>
      </c>
      <c r="D8" s="4" t="s">
        <v>12</v>
      </c>
      <c r="E8" t="s">
        <v>15</v>
      </c>
      <c r="F8" t="s">
        <v>202</v>
      </c>
      <c r="G8" t="s">
        <v>199</v>
      </c>
      <c r="H8">
        <v>4</v>
      </c>
      <c r="I8" s="4" t="s">
        <v>442</v>
      </c>
      <c r="J8" s="4" t="s">
        <v>443</v>
      </c>
      <c r="K8" t="s">
        <v>138</v>
      </c>
      <c r="L8" s="7">
        <v>53.495934959349597</v>
      </c>
      <c r="M8" s="6">
        <v>6.1499999999999999E-2</v>
      </c>
      <c r="N8" s="6">
        <v>0.32900000000000001</v>
      </c>
      <c r="O8">
        <v>2</v>
      </c>
      <c r="P8">
        <v>0.16450000000000001</v>
      </c>
      <c r="Q8" s="11">
        <v>2.2000000000000002</v>
      </c>
      <c r="R8" s="11">
        <v>2.1</v>
      </c>
      <c r="S8">
        <v>55</v>
      </c>
      <c r="T8">
        <v>4</v>
      </c>
      <c r="U8">
        <v>59</v>
      </c>
      <c r="V8" s="11">
        <v>93.220338983050837</v>
      </c>
    </row>
    <row r="9" spans="1:22" x14ac:dyDescent="0.4">
      <c r="A9" t="s">
        <v>139</v>
      </c>
      <c r="B9" t="s">
        <v>142</v>
      </c>
      <c r="C9" s="10">
        <v>45000</v>
      </c>
      <c r="D9" s="4" t="s">
        <v>12</v>
      </c>
      <c r="E9" t="s">
        <v>16</v>
      </c>
      <c r="F9" t="s">
        <v>197</v>
      </c>
      <c r="G9" t="s">
        <v>199</v>
      </c>
      <c r="H9">
        <v>60</v>
      </c>
      <c r="I9" s="4" t="s">
        <v>220</v>
      </c>
      <c r="J9" s="4" t="s">
        <v>221</v>
      </c>
      <c r="K9" t="s">
        <v>138</v>
      </c>
      <c r="L9" s="7">
        <v>107.97962648556876</v>
      </c>
      <c r="M9" s="6">
        <v>5.8900000000000001E-2</v>
      </c>
      <c r="N9" s="6">
        <v>0.63600000000000001</v>
      </c>
      <c r="O9">
        <v>5</v>
      </c>
      <c r="P9">
        <v>0.12720000000000001</v>
      </c>
      <c r="Q9" s="11">
        <v>1.9600000000000002</v>
      </c>
      <c r="R9" s="11">
        <v>2.09</v>
      </c>
      <c r="S9">
        <v>65</v>
      </c>
      <c r="T9">
        <v>36</v>
      </c>
      <c r="U9">
        <v>101</v>
      </c>
      <c r="V9" s="11">
        <v>64.356435643564353</v>
      </c>
    </row>
    <row r="10" spans="1:22" x14ac:dyDescent="0.4">
      <c r="A10" t="s">
        <v>139</v>
      </c>
      <c r="B10" t="s">
        <v>142</v>
      </c>
      <c r="C10" s="10">
        <v>45000</v>
      </c>
      <c r="D10" s="4" t="s">
        <v>12</v>
      </c>
      <c r="E10" t="s">
        <v>17</v>
      </c>
      <c r="F10" t="s">
        <v>197</v>
      </c>
      <c r="G10" t="s">
        <v>199</v>
      </c>
      <c r="H10">
        <v>150</v>
      </c>
      <c r="I10" s="4" t="s">
        <v>222</v>
      </c>
      <c r="J10" s="4" t="s">
        <v>223</v>
      </c>
      <c r="K10" t="s">
        <v>138</v>
      </c>
      <c r="L10" s="7">
        <v>439.64757709251097</v>
      </c>
      <c r="M10" s="6">
        <v>4.5400000000000003E-2</v>
      </c>
      <c r="N10" s="6">
        <v>1.996</v>
      </c>
      <c r="O10">
        <v>15</v>
      </c>
      <c r="P10">
        <v>0.13306666666666667</v>
      </c>
      <c r="Q10" s="11">
        <v>2.4533333333333336</v>
      </c>
      <c r="R10" s="11">
        <v>1.96</v>
      </c>
      <c r="S10">
        <v>67</v>
      </c>
      <c r="T10">
        <v>33</v>
      </c>
      <c r="U10">
        <v>100</v>
      </c>
      <c r="V10" s="11">
        <v>67</v>
      </c>
    </row>
    <row r="11" spans="1:22" x14ac:dyDescent="0.4">
      <c r="A11" t="s">
        <v>139</v>
      </c>
      <c r="B11" t="s">
        <v>142</v>
      </c>
      <c r="C11" s="10">
        <v>45000</v>
      </c>
      <c r="D11" s="4" t="s">
        <v>12</v>
      </c>
      <c r="E11" t="s">
        <v>18</v>
      </c>
      <c r="F11" t="s">
        <v>197</v>
      </c>
      <c r="G11" t="s">
        <v>199</v>
      </c>
      <c r="H11">
        <v>26</v>
      </c>
      <c r="I11" s="4" t="s">
        <v>224</v>
      </c>
      <c r="J11" s="4" t="s">
        <v>225</v>
      </c>
      <c r="K11" t="s">
        <v>138</v>
      </c>
      <c r="L11" s="7">
        <v>175.91397849462365</v>
      </c>
      <c r="M11" s="6">
        <v>4.65E-2</v>
      </c>
      <c r="N11" s="6">
        <v>0.81799999999999995</v>
      </c>
      <c r="O11">
        <v>5</v>
      </c>
      <c r="P11">
        <v>0.1636</v>
      </c>
      <c r="Q11" s="11">
        <v>2.58</v>
      </c>
      <c r="R11" s="11">
        <v>2.3199999999999998</v>
      </c>
      <c r="S11">
        <v>82</v>
      </c>
      <c r="T11">
        <v>17</v>
      </c>
      <c r="U11">
        <v>99</v>
      </c>
      <c r="V11" s="11">
        <v>82.828282828282823</v>
      </c>
    </row>
    <row r="12" spans="1:22" x14ac:dyDescent="0.4">
      <c r="A12" t="s">
        <v>139</v>
      </c>
      <c r="B12" t="s">
        <v>143</v>
      </c>
      <c r="C12" s="10">
        <v>45000</v>
      </c>
      <c r="D12" s="4" t="s">
        <v>12</v>
      </c>
      <c r="E12" t="s">
        <v>19</v>
      </c>
      <c r="F12" t="s">
        <v>197</v>
      </c>
      <c r="G12" t="s">
        <v>199</v>
      </c>
      <c r="H12">
        <v>30</v>
      </c>
      <c r="I12" s="4" t="s">
        <v>226</v>
      </c>
      <c r="J12" s="4" t="s">
        <v>227</v>
      </c>
      <c r="K12" t="s">
        <v>138</v>
      </c>
      <c r="L12" s="7">
        <v>127.05314009661836</v>
      </c>
      <c r="M12" s="6">
        <v>4.1399999999999999E-2</v>
      </c>
      <c r="N12" s="6">
        <v>0.52600000000000002</v>
      </c>
      <c r="O12">
        <v>4</v>
      </c>
      <c r="P12">
        <v>0.13150000000000001</v>
      </c>
      <c r="Q12" s="11">
        <v>2.0875000000000004</v>
      </c>
      <c r="R12" s="11">
        <v>2</v>
      </c>
      <c r="S12">
        <v>74</v>
      </c>
      <c r="T12">
        <v>26</v>
      </c>
      <c r="U12">
        <v>100</v>
      </c>
      <c r="V12" s="11">
        <v>74</v>
      </c>
    </row>
    <row r="13" spans="1:22" x14ac:dyDescent="0.4">
      <c r="A13" t="s">
        <v>139</v>
      </c>
      <c r="B13" t="s">
        <v>143</v>
      </c>
      <c r="C13" s="10">
        <v>45000</v>
      </c>
      <c r="D13" s="4" t="s">
        <v>12</v>
      </c>
      <c r="E13" t="s">
        <v>20</v>
      </c>
      <c r="F13" t="s">
        <v>197</v>
      </c>
      <c r="G13" t="s">
        <v>199</v>
      </c>
      <c r="H13" t="s">
        <v>205</v>
      </c>
      <c r="I13" s="4" t="s">
        <v>228</v>
      </c>
      <c r="J13" s="4" t="s">
        <v>229</v>
      </c>
      <c r="K13" t="s">
        <v>144</v>
      </c>
      <c r="L13" s="7">
        <v>741.86851211072678</v>
      </c>
      <c r="M13" s="6">
        <v>2.8899999999999999E-2</v>
      </c>
      <c r="N13" s="6">
        <v>2.1440000000000001</v>
      </c>
      <c r="O13">
        <v>16</v>
      </c>
      <c r="P13">
        <v>0.13400000000000001</v>
      </c>
      <c r="Q13" s="11">
        <v>2.4499999999999997</v>
      </c>
      <c r="R13" s="11">
        <v>2.1125000000000003</v>
      </c>
      <c r="S13">
        <v>87</v>
      </c>
      <c r="T13">
        <v>13</v>
      </c>
      <c r="U13">
        <v>100</v>
      </c>
      <c r="V13" s="11">
        <v>87</v>
      </c>
    </row>
    <row r="14" spans="1:22" x14ac:dyDescent="0.4">
      <c r="A14" t="s">
        <v>139</v>
      </c>
      <c r="B14" t="s">
        <v>143</v>
      </c>
      <c r="C14" s="10">
        <v>45000</v>
      </c>
      <c r="D14" s="4" t="s">
        <v>12</v>
      </c>
      <c r="E14" t="s">
        <v>21</v>
      </c>
      <c r="F14" t="s">
        <v>197</v>
      </c>
      <c r="G14" t="s">
        <v>199</v>
      </c>
      <c r="H14">
        <v>130</v>
      </c>
      <c r="I14" s="4" t="s">
        <v>230</v>
      </c>
      <c r="J14" s="4" t="s">
        <v>231</v>
      </c>
      <c r="K14" t="s">
        <v>138</v>
      </c>
      <c r="L14" s="7">
        <v>143.43163538873995</v>
      </c>
      <c r="M14" s="6">
        <v>3.73E-2</v>
      </c>
      <c r="N14" s="6">
        <v>0.53500000000000003</v>
      </c>
      <c r="O14">
        <v>5</v>
      </c>
      <c r="P14">
        <v>0.10700000000000001</v>
      </c>
      <c r="Q14" s="11">
        <v>2.06</v>
      </c>
      <c r="R14" s="11">
        <v>1.77</v>
      </c>
      <c r="S14">
        <v>74</v>
      </c>
      <c r="T14">
        <v>26</v>
      </c>
      <c r="U14">
        <v>100</v>
      </c>
      <c r="V14" s="11">
        <v>74</v>
      </c>
    </row>
    <row r="15" spans="1:22" x14ac:dyDescent="0.4">
      <c r="A15" t="s">
        <v>145</v>
      </c>
      <c r="B15" t="s">
        <v>146</v>
      </c>
      <c r="C15" s="10">
        <v>45002</v>
      </c>
      <c r="D15" s="4" t="s">
        <v>12</v>
      </c>
      <c r="E15" t="s">
        <v>22</v>
      </c>
      <c r="F15" t="s">
        <v>197</v>
      </c>
      <c r="G15" t="s">
        <v>199</v>
      </c>
      <c r="H15">
        <v>46</v>
      </c>
      <c r="I15" s="4" t="s">
        <v>232</v>
      </c>
      <c r="J15" s="4" t="s">
        <v>233</v>
      </c>
      <c r="K15" t="s">
        <v>138</v>
      </c>
      <c r="L15" s="7">
        <v>235.27980535279806</v>
      </c>
      <c r="M15" s="6">
        <v>4.1099999999999998E-2</v>
      </c>
      <c r="N15" s="6">
        <v>0.96699999999999997</v>
      </c>
      <c r="O15">
        <v>6</v>
      </c>
      <c r="P15">
        <v>0.16116666666666665</v>
      </c>
      <c r="Q15" s="11">
        <v>2.1666666666666665</v>
      </c>
      <c r="R15" s="11">
        <v>2.0166666666666666</v>
      </c>
      <c r="S15">
        <v>86</v>
      </c>
      <c r="T15">
        <v>14</v>
      </c>
      <c r="U15">
        <v>100</v>
      </c>
      <c r="V15" s="11">
        <v>86</v>
      </c>
    </row>
    <row r="16" spans="1:22" x14ac:dyDescent="0.4">
      <c r="A16" t="s">
        <v>145</v>
      </c>
      <c r="B16" t="s">
        <v>146</v>
      </c>
      <c r="C16" s="10">
        <v>45002</v>
      </c>
      <c r="D16" s="4" t="s">
        <v>12</v>
      </c>
      <c r="E16" t="s">
        <v>23</v>
      </c>
      <c r="F16" t="s">
        <v>197</v>
      </c>
      <c r="G16" t="s">
        <v>199</v>
      </c>
      <c r="H16" t="s">
        <v>206</v>
      </c>
      <c r="I16" s="4" t="s">
        <v>234</v>
      </c>
      <c r="J16" s="4" t="s">
        <v>235</v>
      </c>
      <c r="K16" t="s">
        <v>138</v>
      </c>
      <c r="L16" s="7">
        <v>164.31226765799255</v>
      </c>
      <c r="M16" s="6">
        <v>2.69E-2</v>
      </c>
      <c r="N16" s="6">
        <v>0.442</v>
      </c>
      <c r="O16">
        <v>5</v>
      </c>
      <c r="P16">
        <v>8.8400000000000006E-2</v>
      </c>
      <c r="Q16" s="11">
        <v>2.1399999999999997</v>
      </c>
      <c r="R16" s="11">
        <v>2.1599999999999997</v>
      </c>
      <c r="S16">
        <v>64</v>
      </c>
      <c r="T16">
        <v>36</v>
      </c>
      <c r="U16">
        <v>100</v>
      </c>
      <c r="V16" s="11">
        <v>64</v>
      </c>
    </row>
    <row r="17" spans="1:22" x14ac:dyDescent="0.4">
      <c r="A17" t="s">
        <v>145</v>
      </c>
      <c r="B17" t="s">
        <v>146</v>
      </c>
      <c r="C17" s="10">
        <v>45002</v>
      </c>
      <c r="D17" s="4" t="s">
        <v>12</v>
      </c>
      <c r="E17" t="s">
        <v>24</v>
      </c>
      <c r="F17" t="s">
        <v>197</v>
      </c>
      <c r="G17" t="s">
        <v>199</v>
      </c>
      <c r="H17" t="s">
        <v>205</v>
      </c>
      <c r="I17" s="4" t="s">
        <v>236</v>
      </c>
      <c r="J17" s="4" t="s">
        <v>237</v>
      </c>
      <c r="K17" t="s">
        <v>137</v>
      </c>
      <c r="L17" s="7">
        <v>160.22099447513813</v>
      </c>
      <c r="M17" s="6">
        <v>5.4300000000000001E-2</v>
      </c>
      <c r="N17" s="6">
        <v>0.87</v>
      </c>
      <c r="O17">
        <v>5</v>
      </c>
      <c r="P17">
        <v>0.17399999999999999</v>
      </c>
      <c r="Q17" s="11">
        <v>2.0750000000000002</v>
      </c>
      <c r="R17" s="11">
        <v>1.9625000000000001</v>
      </c>
      <c r="S17">
        <v>87</v>
      </c>
      <c r="T17">
        <v>13</v>
      </c>
      <c r="U17">
        <v>100</v>
      </c>
      <c r="V17" s="11">
        <v>87</v>
      </c>
    </row>
    <row r="18" spans="1:22" x14ac:dyDescent="0.4">
      <c r="A18" t="s">
        <v>145</v>
      </c>
      <c r="B18" t="s">
        <v>146</v>
      </c>
      <c r="C18" s="10">
        <v>45002</v>
      </c>
      <c r="D18" s="4" t="s">
        <v>12</v>
      </c>
      <c r="E18" t="s">
        <v>25</v>
      </c>
      <c r="F18" t="s">
        <v>197</v>
      </c>
      <c r="G18" t="s">
        <v>199</v>
      </c>
      <c r="H18">
        <v>35</v>
      </c>
      <c r="I18" s="4" t="s">
        <v>238</v>
      </c>
      <c r="J18" s="4" t="s">
        <v>239</v>
      </c>
      <c r="K18" t="s">
        <v>138</v>
      </c>
      <c r="L18" s="7">
        <v>165.42553191489364</v>
      </c>
      <c r="M18" s="6">
        <v>5.6399999999999999E-2</v>
      </c>
      <c r="N18" s="6">
        <v>0.93300000000000005</v>
      </c>
      <c r="O18">
        <v>5</v>
      </c>
      <c r="P18">
        <v>0.18660000000000002</v>
      </c>
      <c r="Q18" s="11">
        <v>2.38</v>
      </c>
      <c r="R18" s="11">
        <v>2.0799999999999996</v>
      </c>
      <c r="S18">
        <v>93</v>
      </c>
      <c r="T18">
        <v>7</v>
      </c>
      <c r="U18">
        <v>100</v>
      </c>
      <c r="V18" s="11">
        <v>93</v>
      </c>
    </row>
    <row r="19" spans="1:22" x14ac:dyDescent="0.4">
      <c r="A19" t="s">
        <v>145</v>
      </c>
      <c r="B19" t="s">
        <v>146</v>
      </c>
      <c r="C19" s="10">
        <v>45002</v>
      </c>
      <c r="D19" s="4" t="s">
        <v>12</v>
      </c>
      <c r="E19" t="s">
        <v>26</v>
      </c>
      <c r="F19" t="s">
        <v>197</v>
      </c>
      <c r="G19" t="s">
        <v>199</v>
      </c>
      <c r="H19" t="s">
        <v>207</v>
      </c>
      <c r="I19" s="4" t="s">
        <v>240</v>
      </c>
      <c r="J19" s="4" t="s">
        <v>241</v>
      </c>
      <c r="K19" t="s">
        <v>138</v>
      </c>
      <c r="L19" s="7">
        <v>287.18535469107547</v>
      </c>
      <c r="M19" s="6">
        <v>4.3700000000000003E-2</v>
      </c>
      <c r="N19" s="6">
        <v>1.2549999999999999</v>
      </c>
      <c r="O19">
        <v>8</v>
      </c>
      <c r="P19">
        <v>0.15687499999999999</v>
      </c>
      <c r="Q19" s="11">
        <v>2.15625</v>
      </c>
      <c r="R19" s="11">
        <v>1.85</v>
      </c>
      <c r="S19">
        <v>96</v>
      </c>
      <c r="T19">
        <v>4</v>
      </c>
      <c r="U19">
        <v>100</v>
      </c>
      <c r="V19" s="11">
        <v>96</v>
      </c>
    </row>
    <row r="20" spans="1:22" x14ac:dyDescent="0.4">
      <c r="A20" t="s">
        <v>145</v>
      </c>
      <c r="B20" t="s">
        <v>147</v>
      </c>
      <c r="C20" s="10">
        <v>45002</v>
      </c>
      <c r="D20" s="4" t="s">
        <v>12</v>
      </c>
      <c r="E20" t="s">
        <v>27</v>
      </c>
      <c r="F20" t="s">
        <v>197</v>
      </c>
      <c r="G20" t="s">
        <v>199</v>
      </c>
      <c r="H20">
        <v>45</v>
      </c>
      <c r="I20" s="4" t="s">
        <v>242</v>
      </c>
      <c r="J20" s="4" t="s">
        <v>243</v>
      </c>
      <c r="K20" t="s">
        <v>144</v>
      </c>
      <c r="L20" s="7">
        <v>327.63915547024953</v>
      </c>
      <c r="M20" s="6">
        <v>5.21E-2</v>
      </c>
      <c r="N20" s="6">
        <v>1.7070000000000001</v>
      </c>
      <c r="O20">
        <v>8</v>
      </c>
      <c r="P20">
        <v>0.21337500000000001</v>
      </c>
      <c r="Q20" s="11">
        <v>2.3944444444444439</v>
      </c>
      <c r="R20" s="11">
        <v>2.1833333333333336</v>
      </c>
      <c r="S20">
        <v>93</v>
      </c>
      <c r="T20">
        <v>7</v>
      </c>
      <c r="U20">
        <v>100</v>
      </c>
      <c r="V20" s="11">
        <v>93</v>
      </c>
    </row>
    <row r="21" spans="1:22" x14ac:dyDescent="0.4">
      <c r="A21" t="s">
        <v>145</v>
      </c>
      <c r="B21" t="s">
        <v>147</v>
      </c>
      <c r="C21" s="10">
        <v>45002</v>
      </c>
      <c r="D21" s="4" t="s">
        <v>12</v>
      </c>
      <c r="E21" t="s">
        <v>28</v>
      </c>
      <c r="F21" t="s">
        <v>202</v>
      </c>
      <c r="G21" t="s">
        <v>199</v>
      </c>
      <c r="H21">
        <v>90</v>
      </c>
      <c r="I21" s="4" t="s">
        <v>244</v>
      </c>
      <c r="J21" s="4" t="s">
        <v>245</v>
      </c>
      <c r="K21" t="s">
        <v>138</v>
      </c>
      <c r="L21" s="7">
        <v>171.84801381692574</v>
      </c>
      <c r="M21" s="6">
        <v>5.79E-2</v>
      </c>
      <c r="N21" s="6">
        <v>0.995</v>
      </c>
      <c r="O21">
        <v>7</v>
      </c>
      <c r="P21">
        <v>0.14214285714285715</v>
      </c>
      <c r="Q21" s="11">
        <v>1.907142857142857</v>
      </c>
      <c r="R21" s="11">
        <v>2.1499999999999995</v>
      </c>
      <c r="S21">
        <v>66</v>
      </c>
      <c r="T21">
        <v>34</v>
      </c>
      <c r="U21">
        <v>100</v>
      </c>
      <c r="V21" s="11">
        <v>66</v>
      </c>
    </row>
    <row r="22" spans="1:22" x14ac:dyDescent="0.4">
      <c r="A22" t="s">
        <v>145</v>
      </c>
      <c r="B22" t="s">
        <v>147</v>
      </c>
      <c r="C22" s="10">
        <v>45002</v>
      </c>
      <c r="D22" s="4" t="s">
        <v>12</v>
      </c>
      <c r="E22" t="s">
        <v>29</v>
      </c>
      <c r="F22" t="s">
        <v>197</v>
      </c>
      <c r="G22" t="s">
        <v>199</v>
      </c>
      <c r="H22" t="s">
        <v>205</v>
      </c>
      <c r="I22" s="4" t="s">
        <v>246</v>
      </c>
      <c r="J22" s="4" t="s">
        <v>247</v>
      </c>
      <c r="K22" t="s">
        <v>144</v>
      </c>
      <c r="L22" s="7">
        <v>98.102466793168887</v>
      </c>
      <c r="M22" s="6">
        <v>5.2699999999999997E-2</v>
      </c>
      <c r="N22" s="6">
        <v>0.51700000000000002</v>
      </c>
      <c r="O22">
        <v>5</v>
      </c>
      <c r="P22">
        <v>0.10340000000000001</v>
      </c>
      <c r="Q22" s="11">
        <v>2.0200000000000005</v>
      </c>
      <c r="R22" s="11">
        <v>2.12</v>
      </c>
      <c r="S22">
        <v>41</v>
      </c>
      <c r="T22">
        <v>59</v>
      </c>
      <c r="U22">
        <v>100</v>
      </c>
      <c r="V22" s="11">
        <v>41</v>
      </c>
    </row>
    <row r="23" spans="1:22" x14ac:dyDescent="0.4">
      <c r="A23" t="s">
        <v>145</v>
      </c>
      <c r="B23" t="s">
        <v>147</v>
      </c>
      <c r="C23" s="10">
        <v>45002</v>
      </c>
      <c r="D23" s="4" t="s">
        <v>12</v>
      </c>
      <c r="E23" t="s">
        <v>30</v>
      </c>
      <c r="F23" t="s">
        <v>202</v>
      </c>
      <c r="G23" t="s">
        <v>199</v>
      </c>
      <c r="H23">
        <v>20</v>
      </c>
      <c r="I23" s="4" t="s">
        <v>248</v>
      </c>
      <c r="J23" s="4" t="s">
        <v>249</v>
      </c>
      <c r="K23" t="s">
        <v>138</v>
      </c>
      <c r="L23" s="7">
        <v>182.18623481781378</v>
      </c>
      <c r="M23" s="6">
        <v>4.9399999999999999E-2</v>
      </c>
      <c r="N23" s="6">
        <v>0.9</v>
      </c>
      <c r="O23">
        <v>7</v>
      </c>
      <c r="P23">
        <v>0.12857142857142859</v>
      </c>
      <c r="Q23" s="11">
        <v>2.3071428571428569</v>
      </c>
      <c r="R23" s="11">
        <v>2.0142857142857142</v>
      </c>
      <c r="S23">
        <v>85</v>
      </c>
      <c r="T23">
        <v>15</v>
      </c>
      <c r="U23">
        <v>100</v>
      </c>
      <c r="V23" s="11">
        <v>85</v>
      </c>
    </row>
    <row r="24" spans="1:22" x14ac:dyDescent="0.4">
      <c r="A24" t="s">
        <v>145</v>
      </c>
      <c r="B24" t="s">
        <v>148</v>
      </c>
      <c r="C24" s="10">
        <v>45050</v>
      </c>
      <c r="D24" s="4" t="s">
        <v>12</v>
      </c>
      <c r="E24" t="s">
        <v>31</v>
      </c>
      <c r="F24" t="s">
        <v>202</v>
      </c>
      <c r="G24" t="s">
        <v>200</v>
      </c>
      <c r="H24" t="s">
        <v>206</v>
      </c>
      <c r="I24" s="4" t="s">
        <v>250</v>
      </c>
      <c r="J24" s="4" t="s">
        <v>251</v>
      </c>
      <c r="K24" t="s">
        <v>138</v>
      </c>
      <c r="L24" s="7">
        <v>320.51351351351349</v>
      </c>
      <c r="M24" s="6">
        <v>3.6999999999999998E-2</v>
      </c>
      <c r="N24" s="6">
        <v>1.1859</v>
      </c>
      <c r="O24">
        <v>11</v>
      </c>
      <c r="P24">
        <v>0.10780909090909091</v>
      </c>
      <c r="Q24" s="11">
        <v>2.0727272727272728</v>
      </c>
      <c r="R24" s="11">
        <v>1.7</v>
      </c>
      <c r="S24">
        <v>87</v>
      </c>
      <c r="T24">
        <v>13</v>
      </c>
      <c r="U24">
        <v>100</v>
      </c>
      <c r="V24" s="11">
        <v>87</v>
      </c>
    </row>
    <row r="25" spans="1:22" x14ac:dyDescent="0.4">
      <c r="A25" t="s">
        <v>145</v>
      </c>
      <c r="B25" t="s">
        <v>149</v>
      </c>
      <c r="C25" s="10">
        <v>45050</v>
      </c>
      <c r="D25" s="4" t="s">
        <v>12</v>
      </c>
      <c r="E25" t="s">
        <v>32</v>
      </c>
      <c r="F25" t="s">
        <v>202</v>
      </c>
      <c r="G25" t="s">
        <v>199</v>
      </c>
      <c r="H25" t="s">
        <v>205</v>
      </c>
      <c r="I25" s="4" t="s">
        <v>252</v>
      </c>
      <c r="J25" s="4" t="s">
        <v>253</v>
      </c>
      <c r="K25" t="s">
        <v>138</v>
      </c>
      <c r="L25" s="7">
        <v>1839.8095238095239</v>
      </c>
      <c r="M25" s="6">
        <v>4.2000000000000003E-2</v>
      </c>
      <c r="N25" s="6">
        <v>7.7271999999999998</v>
      </c>
      <c r="O25">
        <v>73</v>
      </c>
      <c r="P25">
        <v>0.10585205479452055</v>
      </c>
      <c r="Q25" s="11">
        <v>1.9226027397260264</v>
      </c>
      <c r="R25" s="11">
        <v>1.6753424657534255</v>
      </c>
      <c r="S25">
        <v>77</v>
      </c>
      <c r="T25">
        <v>23</v>
      </c>
      <c r="U25">
        <v>100</v>
      </c>
      <c r="V25" s="11">
        <v>77</v>
      </c>
    </row>
    <row r="26" spans="1:22" x14ac:dyDescent="0.4">
      <c r="A26" t="s">
        <v>145</v>
      </c>
      <c r="B26" t="s">
        <v>150</v>
      </c>
      <c r="C26" s="10">
        <v>45050</v>
      </c>
      <c r="D26" s="4" t="s">
        <v>12</v>
      </c>
      <c r="E26" t="s">
        <v>33</v>
      </c>
      <c r="F26" t="s">
        <v>202</v>
      </c>
      <c r="G26" t="s">
        <v>199</v>
      </c>
      <c r="H26" t="s">
        <v>186</v>
      </c>
      <c r="I26" s="4" t="s">
        <v>186</v>
      </c>
      <c r="J26" s="4" t="s">
        <v>186</v>
      </c>
      <c r="K26" t="s">
        <v>138</v>
      </c>
      <c r="L26" s="7">
        <v>4485.8810572687225</v>
      </c>
      <c r="M26" s="6">
        <v>4.5400000000000003E-2</v>
      </c>
      <c r="N26" s="6">
        <v>20.3659</v>
      </c>
      <c r="O26">
        <v>138</v>
      </c>
      <c r="P26">
        <v>0.14757898550724638</v>
      </c>
      <c r="Q26" s="11">
        <v>2.3857142857142857</v>
      </c>
      <c r="R26" s="11">
        <v>2.0092857142857143</v>
      </c>
      <c r="S26" t="s">
        <v>186</v>
      </c>
      <c r="T26" t="s">
        <v>186</v>
      </c>
      <c r="U26" t="s">
        <v>186</v>
      </c>
      <c r="V26" s="11" t="s">
        <v>186</v>
      </c>
    </row>
    <row r="27" spans="1:22" x14ac:dyDescent="0.4">
      <c r="A27" t="s">
        <v>145</v>
      </c>
      <c r="B27" t="s">
        <v>150</v>
      </c>
      <c r="C27" s="10">
        <v>45050</v>
      </c>
      <c r="D27" s="4" t="s">
        <v>12</v>
      </c>
      <c r="E27" t="s">
        <v>34</v>
      </c>
      <c r="F27" t="s">
        <v>202</v>
      </c>
      <c r="G27" t="s">
        <v>199</v>
      </c>
      <c r="H27" t="s">
        <v>186</v>
      </c>
      <c r="I27" s="4" t="s">
        <v>186</v>
      </c>
      <c r="J27" s="4" t="s">
        <v>186</v>
      </c>
      <c r="K27" t="s">
        <v>144</v>
      </c>
      <c r="L27" s="7">
        <v>2950.8459214501518</v>
      </c>
      <c r="M27" s="6">
        <v>3.3099999999999997E-2</v>
      </c>
      <c r="N27" s="6">
        <v>9.7673000000000005</v>
      </c>
      <c r="O27">
        <v>121</v>
      </c>
      <c r="P27">
        <v>8.0721487603305789E-2</v>
      </c>
      <c r="Q27" s="11">
        <v>1.9279661016949157</v>
      </c>
      <c r="R27" s="11">
        <v>1.8805084745762708</v>
      </c>
      <c r="S27" t="s">
        <v>186</v>
      </c>
      <c r="T27" t="s">
        <v>186</v>
      </c>
      <c r="U27" t="s">
        <v>186</v>
      </c>
      <c r="V27" s="11" t="s">
        <v>186</v>
      </c>
    </row>
    <row r="28" spans="1:22" x14ac:dyDescent="0.4">
      <c r="A28" t="s">
        <v>145</v>
      </c>
      <c r="B28" t="s">
        <v>149</v>
      </c>
      <c r="C28" s="10">
        <v>45050</v>
      </c>
      <c r="D28" s="4" t="s">
        <v>12</v>
      </c>
      <c r="E28" t="s">
        <v>35</v>
      </c>
      <c r="F28" t="s">
        <v>202</v>
      </c>
      <c r="G28" t="s">
        <v>200</v>
      </c>
      <c r="H28">
        <v>20</v>
      </c>
      <c r="I28" s="4" t="s">
        <v>254</v>
      </c>
      <c r="J28" s="4" t="s">
        <v>255</v>
      </c>
      <c r="K28" t="s">
        <v>138</v>
      </c>
      <c r="L28" s="7">
        <v>94.751958224543088</v>
      </c>
      <c r="M28" s="6">
        <v>3.8300000000000001E-2</v>
      </c>
      <c r="N28" s="6">
        <v>0.3629</v>
      </c>
      <c r="O28">
        <v>7</v>
      </c>
      <c r="P28">
        <v>5.1842857142857142E-2</v>
      </c>
      <c r="Q28" s="11">
        <v>2.3285714285714287</v>
      </c>
      <c r="R28" s="11">
        <v>1.9499999999999997</v>
      </c>
      <c r="S28">
        <v>83</v>
      </c>
      <c r="T28">
        <v>17</v>
      </c>
      <c r="U28">
        <v>100</v>
      </c>
      <c r="V28" s="11">
        <v>83</v>
      </c>
    </row>
    <row r="29" spans="1:22" x14ac:dyDescent="0.4">
      <c r="A29" t="s">
        <v>145</v>
      </c>
      <c r="B29" t="s">
        <v>151</v>
      </c>
      <c r="C29" s="10">
        <v>45064</v>
      </c>
      <c r="D29" s="4" t="s">
        <v>12</v>
      </c>
      <c r="E29" t="s">
        <v>36</v>
      </c>
      <c r="F29" t="s">
        <v>197</v>
      </c>
      <c r="G29" t="s">
        <v>199</v>
      </c>
      <c r="H29" t="s">
        <v>206</v>
      </c>
      <c r="I29" s="4" t="s">
        <v>256</v>
      </c>
      <c r="J29" s="4" t="s">
        <v>257</v>
      </c>
      <c r="K29" t="s">
        <v>144</v>
      </c>
      <c r="L29" s="7">
        <v>225.9375</v>
      </c>
      <c r="M29" s="6">
        <v>7.0400000000000004E-2</v>
      </c>
      <c r="N29" s="6">
        <v>1.5906</v>
      </c>
      <c r="O29">
        <v>10</v>
      </c>
      <c r="P29">
        <v>0.15906000000000001</v>
      </c>
      <c r="Q29" s="11">
        <v>2.3150000000000004</v>
      </c>
      <c r="R29" s="11">
        <v>2.09</v>
      </c>
      <c r="S29">
        <v>58</v>
      </c>
      <c r="T29">
        <v>42</v>
      </c>
      <c r="U29">
        <v>100</v>
      </c>
      <c r="V29" s="11">
        <v>57.999999999999993</v>
      </c>
    </row>
    <row r="30" spans="1:22" x14ac:dyDescent="0.4">
      <c r="A30" t="s">
        <v>145</v>
      </c>
      <c r="B30" t="s">
        <v>151</v>
      </c>
      <c r="C30" s="10">
        <v>45064</v>
      </c>
      <c r="D30" s="4" t="s">
        <v>12</v>
      </c>
      <c r="E30" t="s">
        <v>37</v>
      </c>
      <c r="F30" t="s">
        <v>197</v>
      </c>
      <c r="G30" t="s">
        <v>199</v>
      </c>
      <c r="H30">
        <v>150</v>
      </c>
      <c r="I30" s="4" t="s">
        <v>258</v>
      </c>
      <c r="J30" s="4" t="s">
        <v>259</v>
      </c>
      <c r="K30" t="s">
        <v>138</v>
      </c>
      <c r="L30" s="7">
        <v>376.37339055793984</v>
      </c>
      <c r="M30" s="6">
        <v>4.6600000000000003E-2</v>
      </c>
      <c r="N30" s="6">
        <v>1.7539</v>
      </c>
      <c r="O30">
        <v>13</v>
      </c>
      <c r="P30">
        <v>0.1349153846153846</v>
      </c>
      <c r="Q30" s="11">
        <v>1.9384615384615387</v>
      </c>
      <c r="R30" s="11">
        <v>1.9038461538461537</v>
      </c>
      <c r="S30">
        <v>83</v>
      </c>
      <c r="T30">
        <v>17</v>
      </c>
      <c r="U30">
        <v>100</v>
      </c>
      <c r="V30" s="11">
        <v>83</v>
      </c>
    </row>
    <row r="31" spans="1:22" x14ac:dyDescent="0.4">
      <c r="A31" t="s">
        <v>145</v>
      </c>
      <c r="B31" t="s">
        <v>151</v>
      </c>
      <c r="C31" s="10">
        <v>45064</v>
      </c>
      <c r="D31" s="4" t="s">
        <v>12</v>
      </c>
      <c r="E31" t="s">
        <v>38</v>
      </c>
      <c r="F31" t="s">
        <v>197</v>
      </c>
      <c r="G31" t="s">
        <v>199</v>
      </c>
      <c r="H31">
        <v>40</v>
      </c>
      <c r="I31" s="4" t="s">
        <v>260</v>
      </c>
      <c r="J31" s="4" t="s">
        <v>261</v>
      </c>
      <c r="K31" t="s">
        <v>138</v>
      </c>
      <c r="L31" s="7">
        <v>10.919172932330826</v>
      </c>
      <c r="M31" s="6">
        <v>0.53200000000000003</v>
      </c>
      <c r="N31" s="6">
        <v>0.58089999999999997</v>
      </c>
      <c r="O31">
        <v>4</v>
      </c>
      <c r="P31">
        <v>0.14522499999999999</v>
      </c>
      <c r="Q31" s="11">
        <v>2.2250000000000001</v>
      </c>
      <c r="R31" s="11">
        <v>2.0499999999999998</v>
      </c>
      <c r="S31">
        <v>96</v>
      </c>
      <c r="T31">
        <v>4</v>
      </c>
      <c r="U31">
        <v>100</v>
      </c>
      <c r="V31" s="11">
        <v>96</v>
      </c>
    </row>
    <row r="32" spans="1:22" x14ac:dyDescent="0.4">
      <c r="A32" t="s">
        <v>145</v>
      </c>
      <c r="B32" t="s">
        <v>152</v>
      </c>
      <c r="C32" s="10">
        <v>45064</v>
      </c>
      <c r="D32" s="4" t="s">
        <v>12</v>
      </c>
      <c r="E32" t="s">
        <v>39</v>
      </c>
      <c r="F32" t="s">
        <v>197</v>
      </c>
      <c r="G32" t="s">
        <v>201</v>
      </c>
      <c r="H32" t="s">
        <v>209</v>
      </c>
      <c r="I32" s="4" t="s">
        <v>262</v>
      </c>
      <c r="J32" s="4" t="s">
        <v>263</v>
      </c>
      <c r="K32" t="s">
        <v>138</v>
      </c>
      <c r="L32" s="7">
        <v>157.15835140997831</v>
      </c>
      <c r="M32" s="6">
        <v>4.6100000000000002E-2</v>
      </c>
      <c r="N32" s="6">
        <v>0.72450000000000003</v>
      </c>
      <c r="O32">
        <v>6</v>
      </c>
      <c r="P32">
        <v>0.12075000000000001</v>
      </c>
      <c r="Q32" s="11">
        <v>2.3833333333333333</v>
      </c>
      <c r="R32" s="11">
        <v>1.8083333333333333</v>
      </c>
      <c r="S32">
        <v>90</v>
      </c>
      <c r="T32">
        <v>10</v>
      </c>
      <c r="U32">
        <v>100</v>
      </c>
      <c r="V32" s="11">
        <v>90</v>
      </c>
    </row>
    <row r="33" spans="1:22" x14ac:dyDescent="0.4">
      <c r="A33" t="s">
        <v>145</v>
      </c>
      <c r="B33" t="s">
        <v>152</v>
      </c>
      <c r="C33" s="10">
        <v>45064</v>
      </c>
      <c r="D33" s="4" t="s">
        <v>12</v>
      </c>
      <c r="E33" t="s">
        <v>40</v>
      </c>
      <c r="F33" t="s">
        <v>197</v>
      </c>
      <c r="G33" t="s">
        <v>200</v>
      </c>
      <c r="H33">
        <v>50</v>
      </c>
      <c r="I33" s="4" t="s">
        <v>264</v>
      </c>
      <c r="J33" s="4" t="s">
        <v>265</v>
      </c>
      <c r="K33" t="s">
        <v>144</v>
      </c>
      <c r="L33" s="7">
        <v>107.98019801980197</v>
      </c>
      <c r="M33" s="6">
        <v>5.0500000000000003E-2</v>
      </c>
      <c r="N33" s="6">
        <v>0.54530000000000001</v>
      </c>
      <c r="O33">
        <v>5</v>
      </c>
      <c r="P33">
        <v>0.10906</v>
      </c>
      <c r="Q33" s="11">
        <v>2.2600000000000002</v>
      </c>
      <c r="R33" s="11">
        <v>2.65</v>
      </c>
      <c r="S33">
        <v>62</v>
      </c>
      <c r="T33">
        <v>38</v>
      </c>
      <c r="U33">
        <v>100</v>
      </c>
      <c r="V33" s="11">
        <v>62</v>
      </c>
    </row>
    <row r="34" spans="1:22" x14ac:dyDescent="0.4">
      <c r="A34" t="s">
        <v>145</v>
      </c>
      <c r="B34" t="s">
        <v>152</v>
      </c>
      <c r="C34" s="10">
        <v>45064</v>
      </c>
      <c r="D34" s="4" t="s">
        <v>12</v>
      </c>
      <c r="E34" t="s">
        <v>41</v>
      </c>
      <c r="F34" t="s">
        <v>197</v>
      </c>
      <c r="G34" t="s">
        <v>199</v>
      </c>
      <c r="H34" t="s">
        <v>208</v>
      </c>
      <c r="I34" s="4" t="s">
        <v>266</v>
      </c>
      <c r="J34" s="4" t="s">
        <v>267</v>
      </c>
      <c r="K34" t="s">
        <v>138</v>
      </c>
      <c r="L34" s="7">
        <v>451.77693761814743</v>
      </c>
      <c r="M34" s="6">
        <v>5.2900000000000003E-2</v>
      </c>
      <c r="N34" s="6">
        <v>2.3898999999999999</v>
      </c>
      <c r="O34">
        <v>16</v>
      </c>
      <c r="P34">
        <v>0.14936874999999999</v>
      </c>
      <c r="Q34" s="11">
        <v>2.5812499999999998</v>
      </c>
      <c r="R34" s="11">
        <v>1.8062499999999997</v>
      </c>
      <c r="S34">
        <v>89</v>
      </c>
      <c r="T34">
        <v>11</v>
      </c>
      <c r="U34">
        <v>100</v>
      </c>
      <c r="V34" s="11">
        <v>89</v>
      </c>
    </row>
    <row r="35" spans="1:22" x14ac:dyDescent="0.4">
      <c r="A35" t="s">
        <v>153</v>
      </c>
      <c r="B35" t="s">
        <v>154</v>
      </c>
      <c r="C35" s="10">
        <v>45072</v>
      </c>
      <c r="D35" s="4" t="s">
        <v>7</v>
      </c>
      <c r="E35" t="s">
        <v>42</v>
      </c>
      <c r="F35" t="s">
        <v>197</v>
      </c>
      <c r="G35" t="s">
        <v>199</v>
      </c>
      <c r="H35">
        <v>4</v>
      </c>
      <c r="I35" s="4" t="s">
        <v>268</v>
      </c>
      <c r="J35" s="4" t="s">
        <v>269</v>
      </c>
      <c r="K35" t="s">
        <v>138</v>
      </c>
      <c r="L35" s="7">
        <v>226.38461538461542</v>
      </c>
      <c r="M35" s="6">
        <v>2.5999999999999999E-2</v>
      </c>
      <c r="N35" s="6">
        <v>0.58860000000000001</v>
      </c>
      <c r="O35">
        <v>4</v>
      </c>
      <c r="P35">
        <v>0.14715</v>
      </c>
      <c r="Q35" s="11">
        <v>2.6875</v>
      </c>
      <c r="R35" s="11">
        <v>1.8875000000000002</v>
      </c>
      <c r="S35">
        <v>90</v>
      </c>
      <c r="T35">
        <v>10</v>
      </c>
      <c r="U35">
        <v>100</v>
      </c>
      <c r="V35" s="11">
        <v>90</v>
      </c>
    </row>
    <row r="36" spans="1:22" x14ac:dyDescent="0.4">
      <c r="A36" t="s">
        <v>153</v>
      </c>
      <c r="B36" t="s">
        <v>154</v>
      </c>
      <c r="C36" s="10">
        <v>45072</v>
      </c>
      <c r="D36" s="4" t="s">
        <v>7</v>
      </c>
      <c r="E36" t="s">
        <v>43</v>
      </c>
      <c r="F36" t="s">
        <v>197</v>
      </c>
      <c r="G36" t="s">
        <v>199</v>
      </c>
      <c r="H36">
        <v>23</v>
      </c>
      <c r="I36" s="4" t="s">
        <v>270</v>
      </c>
      <c r="J36" s="4" t="s">
        <v>269</v>
      </c>
      <c r="K36" t="s">
        <v>144</v>
      </c>
      <c r="L36" s="7">
        <v>495.4545454545455</v>
      </c>
      <c r="M36" s="6">
        <v>2.86E-2</v>
      </c>
      <c r="N36" s="6">
        <v>1.417</v>
      </c>
      <c r="O36">
        <v>10</v>
      </c>
      <c r="P36">
        <v>0.14169999999999999</v>
      </c>
      <c r="Q36" s="11">
        <v>1.8849999999999998</v>
      </c>
      <c r="R36" s="11">
        <v>1.4949999999999999</v>
      </c>
      <c r="S36">
        <v>79</v>
      </c>
      <c r="T36">
        <v>21</v>
      </c>
      <c r="U36">
        <v>100</v>
      </c>
      <c r="V36" s="11">
        <v>79</v>
      </c>
    </row>
    <row r="37" spans="1:22" x14ac:dyDescent="0.4">
      <c r="A37" t="s">
        <v>153</v>
      </c>
      <c r="B37" t="s">
        <v>154</v>
      </c>
      <c r="C37" s="10">
        <v>45072</v>
      </c>
      <c r="D37" s="4" t="s">
        <v>7</v>
      </c>
      <c r="E37" t="s">
        <v>44</v>
      </c>
      <c r="F37" t="s">
        <v>197</v>
      </c>
      <c r="G37" t="s">
        <v>199</v>
      </c>
      <c r="H37">
        <v>90</v>
      </c>
      <c r="I37" s="4" t="s">
        <v>271</v>
      </c>
      <c r="J37" s="4" t="s">
        <v>272</v>
      </c>
      <c r="K37" t="s">
        <v>144</v>
      </c>
      <c r="L37" s="7">
        <v>1867.8632478632476</v>
      </c>
      <c r="M37" s="6">
        <v>2.3400000000000001E-2</v>
      </c>
      <c r="N37" s="6">
        <v>4.3708</v>
      </c>
      <c r="O37">
        <v>41</v>
      </c>
      <c r="P37">
        <v>0.10660487804878049</v>
      </c>
      <c r="Q37" s="11">
        <v>2.0829268292682928</v>
      </c>
      <c r="R37" s="11">
        <v>1.4475609756097563</v>
      </c>
      <c r="S37">
        <v>67</v>
      </c>
      <c r="T37">
        <v>33</v>
      </c>
      <c r="U37">
        <v>100</v>
      </c>
      <c r="V37" s="11">
        <v>67</v>
      </c>
    </row>
    <row r="38" spans="1:22" x14ac:dyDescent="0.4">
      <c r="A38" t="s">
        <v>153</v>
      </c>
      <c r="B38" t="s">
        <v>154</v>
      </c>
      <c r="C38" s="10">
        <v>45072</v>
      </c>
      <c r="D38" s="4" t="s">
        <v>7</v>
      </c>
      <c r="E38" t="s">
        <v>45</v>
      </c>
      <c r="F38" t="s">
        <v>197</v>
      </c>
      <c r="G38" t="s">
        <v>199</v>
      </c>
      <c r="H38">
        <v>5</v>
      </c>
      <c r="I38" s="4" t="s">
        <v>273</v>
      </c>
      <c r="J38" s="4" t="s">
        <v>274</v>
      </c>
      <c r="K38" t="s">
        <v>138</v>
      </c>
      <c r="L38" s="7">
        <v>292.31372549019608</v>
      </c>
      <c r="M38" s="6">
        <v>2.5499999999999998E-2</v>
      </c>
      <c r="N38" s="6">
        <v>0.74539999999999995</v>
      </c>
      <c r="O38">
        <v>5</v>
      </c>
      <c r="P38">
        <v>0.14907999999999999</v>
      </c>
      <c r="Q38" s="11">
        <v>2.0499999999999998</v>
      </c>
      <c r="R38" s="11">
        <v>1.4899999999999998</v>
      </c>
      <c r="S38">
        <v>99</v>
      </c>
      <c r="T38">
        <v>1</v>
      </c>
      <c r="U38">
        <v>100</v>
      </c>
      <c r="V38" s="11">
        <v>99</v>
      </c>
    </row>
    <row r="39" spans="1:22" x14ac:dyDescent="0.4">
      <c r="A39" t="s">
        <v>153</v>
      </c>
      <c r="B39" t="s">
        <v>154</v>
      </c>
      <c r="C39" s="10">
        <v>45072</v>
      </c>
      <c r="D39" s="4" t="s">
        <v>7</v>
      </c>
      <c r="E39" t="s">
        <v>46</v>
      </c>
      <c r="F39" t="s">
        <v>202</v>
      </c>
      <c r="G39" t="s">
        <v>199</v>
      </c>
      <c r="H39">
        <v>11</v>
      </c>
      <c r="I39" s="4" t="s">
        <v>275</v>
      </c>
      <c r="J39" s="4" t="s">
        <v>276</v>
      </c>
      <c r="K39" t="s">
        <v>137</v>
      </c>
      <c r="L39" s="7">
        <v>438.46774193548384</v>
      </c>
      <c r="M39" s="6">
        <v>2.4799999999999999E-2</v>
      </c>
      <c r="N39" s="6">
        <v>1.0873999999999999</v>
      </c>
      <c r="O39">
        <v>7</v>
      </c>
      <c r="P39">
        <v>0.15534285714285714</v>
      </c>
      <c r="Q39" s="11">
        <v>2.1428571428571428</v>
      </c>
      <c r="R39" s="11">
        <v>1.5999999999999999</v>
      </c>
      <c r="S39">
        <v>100</v>
      </c>
      <c r="T39">
        <v>0</v>
      </c>
      <c r="U39">
        <v>100</v>
      </c>
      <c r="V39" s="11">
        <v>100</v>
      </c>
    </row>
    <row r="40" spans="1:22" x14ac:dyDescent="0.4">
      <c r="A40" t="s">
        <v>153</v>
      </c>
      <c r="B40" t="s">
        <v>155</v>
      </c>
      <c r="C40" s="10">
        <v>45075</v>
      </c>
      <c r="D40" s="4" t="s">
        <v>7</v>
      </c>
      <c r="E40" t="s">
        <v>47</v>
      </c>
      <c r="F40" t="s">
        <v>202</v>
      </c>
      <c r="G40" t="s">
        <v>199</v>
      </c>
      <c r="H40">
        <v>140</v>
      </c>
      <c r="I40" s="4" t="s">
        <v>277</v>
      </c>
      <c r="J40" s="4" t="s">
        <v>278</v>
      </c>
      <c r="K40" t="s">
        <v>138</v>
      </c>
      <c r="L40" s="7">
        <v>938.30882352941194</v>
      </c>
      <c r="M40" s="6">
        <v>1.3599999999999999E-2</v>
      </c>
      <c r="N40" s="6">
        <v>1.2761</v>
      </c>
      <c r="O40">
        <v>21</v>
      </c>
      <c r="P40">
        <v>6.076666666666667E-2</v>
      </c>
      <c r="Q40" s="11">
        <v>1.6142857142857143</v>
      </c>
      <c r="R40" s="11">
        <v>1.4119047619047618</v>
      </c>
      <c r="S40">
        <v>89</v>
      </c>
      <c r="T40">
        <v>11</v>
      </c>
      <c r="U40">
        <v>100</v>
      </c>
      <c r="V40" s="11">
        <v>89</v>
      </c>
    </row>
    <row r="41" spans="1:22" x14ac:dyDescent="0.4">
      <c r="A41" t="s">
        <v>153</v>
      </c>
      <c r="B41" t="s">
        <v>155</v>
      </c>
      <c r="C41" s="10">
        <v>45075</v>
      </c>
      <c r="D41" s="4" t="s">
        <v>7</v>
      </c>
      <c r="E41" t="s">
        <v>48</v>
      </c>
      <c r="F41" t="s">
        <v>202</v>
      </c>
      <c r="G41" t="s">
        <v>199</v>
      </c>
      <c r="H41">
        <v>21</v>
      </c>
      <c r="I41" s="4" t="s">
        <v>279</v>
      </c>
      <c r="J41" s="4" t="s">
        <v>280</v>
      </c>
      <c r="K41" t="s">
        <v>138</v>
      </c>
      <c r="L41" s="7">
        <v>247.63485477178423</v>
      </c>
      <c r="M41" s="6">
        <v>2.41E-2</v>
      </c>
      <c r="N41" s="6">
        <v>0.5968</v>
      </c>
      <c r="O41">
        <v>5</v>
      </c>
      <c r="P41">
        <v>0.11935999999999999</v>
      </c>
      <c r="Q41" s="11">
        <v>2.2699999999999996</v>
      </c>
      <c r="R41" s="11">
        <v>1.5699999999999998</v>
      </c>
      <c r="S41">
        <v>95</v>
      </c>
      <c r="T41">
        <v>5</v>
      </c>
      <c r="U41">
        <v>101</v>
      </c>
      <c r="V41" s="11">
        <v>94.059405940594047</v>
      </c>
    </row>
    <row r="42" spans="1:22" x14ac:dyDescent="0.4">
      <c r="A42" t="s">
        <v>153</v>
      </c>
      <c r="B42" t="s">
        <v>155</v>
      </c>
      <c r="C42" s="10">
        <v>45075</v>
      </c>
      <c r="D42" s="4" t="s">
        <v>7</v>
      </c>
      <c r="E42" t="s">
        <v>49</v>
      </c>
      <c r="F42" t="s">
        <v>202</v>
      </c>
      <c r="G42" t="s">
        <v>199</v>
      </c>
      <c r="H42">
        <v>60</v>
      </c>
      <c r="I42" s="4" t="s">
        <v>281</v>
      </c>
      <c r="J42" s="4" t="s">
        <v>282</v>
      </c>
      <c r="K42" t="s">
        <v>137</v>
      </c>
      <c r="L42" s="7">
        <v>619.09604519774018</v>
      </c>
      <c r="M42" s="6">
        <v>1.77E-2</v>
      </c>
      <c r="N42" s="6">
        <v>1.0958000000000001</v>
      </c>
      <c r="O42">
        <v>11</v>
      </c>
      <c r="P42">
        <v>9.9618181818181828E-2</v>
      </c>
      <c r="Q42" s="11">
        <v>2.4272727272727277</v>
      </c>
      <c r="R42" s="11">
        <v>1.5818181818181818</v>
      </c>
      <c r="S42">
        <v>94</v>
      </c>
      <c r="T42">
        <v>6</v>
      </c>
      <c r="U42">
        <v>101</v>
      </c>
      <c r="V42" s="11">
        <v>94.059405940594047</v>
      </c>
    </row>
    <row r="43" spans="1:22" x14ac:dyDescent="0.4">
      <c r="A43" t="s">
        <v>153</v>
      </c>
      <c r="B43" t="s">
        <v>155</v>
      </c>
      <c r="C43" s="10">
        <v>45075</v>
      </c>
      <c r="D43" s="4" t="s">
        <v>7</v>
      </c>
      <c r="E43" t="s">
        <v>50</v>
      </c>
      <c r="F43" t="s">
        <v>202</v>
      </c>
      <c r="G43" t="s">
        <v>199</v>
      </c>
      <c r="H43">
        <v>21</v>
      </c>
      <c r="I43" s="4" t="s">
        <v>283</v>
      </c>
      <c r="J43" s="4" t="s">
        <v>284</v>
      </c>
      <c r="K43" t="s">
        <v>137</v>
      </c>
      <c r="L43" s="7">
        <v>253.82882882882882</v>
      </c>
      <c r="M43" s="6">
        <v>2.2200000000000001E-2</v>
      </c>
      <c r="N43" s="6">
        <v>0.5635</v>
      </c>
      <c r="O43">
        <v>7</v>
      </c>
      <c r="P43">
        <v>8.0500000000000002E-2</v>
      </c>
      <c r="Q43" s="11">
        <v>1.4785714285714284</v>
      </c>
      <c r="R43" s="11">
        <v>1.4499999999999997</v>
      </c>
      <c r="S43">
        <v>97</v>
      </c>
      <c r="T43">
        <v>4</v>
      </c>
      <c r="U43">
        <v>101</v>
      </c>
      <c r="V43" s="11">
        <v>96.039603960396036</v>
      </c>
    </row>
    <row r="44" spans="1:22" x14ac:dyDescent="0.4">
      <c r="A44" t="s">
        <v>153</v>
      </c>
      <c r="B44" t="s">
        <v>155</v>
      </c>
      <c r="C44" s="10">
        <v>45075</v>
      </c>
      <c r="D44" s="4" t="s">
        <v>7</v>
      </c>
      <c r="E44" t="s">
        <v>51</v>
      </c>
      <c r="F44" t="s">
        <v>202</v>
      </c>
      <c r="G44" t="s">
        <v>199</v>
      </c>
      <c r="H44">
        <v>70</v>
      </c>
      <c r="I44" s="4" t="s">
        <v>285</v>
      </c>
      <c r="J44" s="4" t="s">
        <v>286</v>
      </c>
      <c r="K44" t="s">
        <v>138</v>
      </c>
      <c r="L44" s="7">
        <v>786.10169491525426</v>
      </c>
      <c r="M44" s="6">
        <v>1.77E-2</v>
      </c>
      <c r="N44" s="6">
        <v>1.3914</v>
      </c>
      <c r="O44">
        <v>11</v>
      </c>
      <c r="P44">
        <v>0.1264909090909091</v>
      </c>
      <c r="Q44" s="11">
        <v>2.2833333333333337</v>
      </c>
      <c r="R44" s="11">
        <v>1.4000000000000001</v>
      </c>
      <c r="S44">
        <v>78</v>
      </c>
      <c r="T44">
        <v>22</v>
      </c>
      <c r="U44">
        <v>100</v>
      </c>
      <c r="V44" s="11">
        <v>78</v>
      </c>
    </row>
    <row r="45" spans="1:22" x14ac:dyDescent="0.4">
      <c r="A45" t="s">
        <v>139</v>
      </c>
      <c r="B45" t="s">
        <v>156</v>
      </c>
      <c r="C45" s="10">
        <v>45093</v>
      </c>
      <c r="D45" s="4" t="s">
        <v>12</v>
      </c>
      <c r="E45" t="s">
        <v>52</v>
      </c>
      <c r="F45" t="s">
        <v>202</v>
      </c>
      <c r="G45" t="s">
        <v>199</v>
      </c>
      <c r="H45">
        <v>9</v>
      </c>
      <c r="I45" s="4" t="s">
        <v>287</v>
      </c>
      <c r="J45" s="4" t="s">
        <v>288</v>
      </c>
      <c r="K45" t="s">
        <v>138</v>
      </c>
      <c r="L45" s="7">
        <v>104.35684647302905</v>
      </c>
      <c r="M45" s="6">
        <v>4.82E-2</v>
      </c>
      <c r="N45" s="6">
        <v>0.503</v>
      </c>
      <c r="O45">
        <v>5</v>
      </c>
      <c r="P45">
        <v>0.10059999999999999</v>
      </c>
      <c r="Q45" s="11">
        <v>2.0299999999999998</v>
      </c>
      <c r="R45" s="11">
        <v>1.9300000000000002</v>
      </c>
      <c r="S45">
        <v>83</v>
      </c>
      <c r="T45">
        <v>12</v>
      </c>
      <c r="U45">
        <v>95</v>
      </c>
      <c r="V45" s="11">
        <v>87.368421052631589</v>
      </c>
    </row>
    <row r="46" spans="1:22" x14ac:dyDescent="0.4">
      <c r="A46" t="s">
        <v>139</v>
      </c>
      <c r="B46" t="s">
        <v>156</v>
      </c>
      <c r="C46" s="10">
        <v>45103</v>
      </c>
      <c r="D46" s="4" t="s">
        <v>12</v>
      </c>
      <c r="E46" t="s">
        <v>53</v>
      </c>
      <c r="F46" t="s">
        <v>202</v>
      </c>
      <c r="G46" t="s">
        <v>199</v>
      </c>
      <c r="H46">
        <v>0</v>
      </c>
      <c r="I46" s="4" t="s">
        <v>289</v>
      </c>
      <c r="J46" s="4" t="s">
        <v>290</v>
      </c>
      <c r="K46" t="s">
        <v>138</v>
      </c>
      <c r="L46" s="7">
        <v>105.4635761589404</v>
      </c>
      <c r="M46" s="6">
        <v>3.0200000000000001E-2</v>
      </c>
      <c r="N46" s="6">
        <v>0.31850000000000001</v>
      </c>
      <c r="O46">
        <v>5</v>
      </c>
      <c r="P46">
        <v>6.3700000000000007E-2</v>
      </c>
      <c r="Q46" s="11">
        <v>2.16</v>
      </c>
      <c r="R46" s="11">
        <v>1.92</v>
      </c>
      <c r="S46">
        <v>64</v>
      </c>
      <c r="T46">
        <v>36</v>
      </c>
      <c r="U46">
        <v>100</v>
      </c>
      <c r="V46" s="11">
        <v>64</v>
      </c>
    </row>
    <row r="47" spans="1:22" x14ac:dyDescent="0.4">
      <c r="A47" t="s">
        <v>139</v>
      </c>
      <c r="B47" t="s">
        <v>157</v>
      </c>
      <c r="C47" s="10">
        <v>45093</v>
      </c>
      <c r="D47" s="4" t="s">
        <v>12</v>
      </c>
      <c r="E47" t="s">
        <v>54</v>
      </c>
      <c r="F47" t="s">
        <v>202</v>
      </c>
      <c r="G47" t="s">
        <v>199</v>
      </c>
      <c r="H47">
        <v>20</v>
      </c>
      <c r="I47" s="4" t="s">
        <v>291</v>
      </c>
      <c r="J47" s="4" t="s">
        <v>292</v>
      </c>
      <c r="K47" t="s">
        <v>138</v>
      </c>
      <c r="L47" s="7">
        <v>294.26540284360192</v>
      </c>
      <c r="M47" s="6">
        <v>4.2200000000000001E-2</v>
      </c>
      <c r="N47" s="6">
        <v>1.2418</v>
      </c>
      <c r="O47">
        <v>7</v>
      </c>
      <c r="P47">
        <v>0.1774</v>
      </c>
      <c r="Q47" s="11">
        <v>2.6857142857142859</v>
      </c>
      <c r="R47" s="11">
        <v>2.7142857142857144</v>
      </c>
      <c r="S47">
        <v>83</v>
      </c>
      <c r="T47">
        <v>18</v>
      </c>
      <c r="U47">
        <v>101</v>
      </c>
      <c r="V47" s="11">
        <v>82.178217821782169</v>
      </c>
    </row>
    <row r="48" spans="1:22" x14ac:dyDescent="0.4">
      <c r="A48" t="s">
        <v>139</v>
      </c>
      <c r="B48" t="s">
        <v>157</v>
      </c>
      <c r="C48" s="10">
        <v>45093</v>
      </c>
      <c r="D48" s="4" t="s">
        <v>12</v>
      </c>
      <c r="E48" t="s">
        <v>55</v>
      </c>
      <c r="F48" t="s">
        <v>202</v>
      </c>
      <c r="G48" t="s">
        <v>199</v>
      </c>
      <c r="H48" t="s">
        <v>206</v>
      </c>
      <c r="I48" s="4" t="s">
        <v>293</v>
      </c>
      <c r="J48" s="4" t="s">
        <v>294</v>
      </c>
      <c r="K48" t="s">
        <v>138</v>
      </c>
      <c r="L48" s="7">
        <v>186.37717121588088</v>
      </c>
      <c r="M48" s="6">
        <v>4.0300000000000002E-2</v>
      </c>
      <c r="N48" s="6">
        <v>0.75109999999999999</v>
      </c>
      <c r="O48">
        <v>5</v>
      </c>
      <c r="P48">
        <v>0.15021999999999999</v>
      </c>
      <c r="Q48" s="11">
        <v>3.07</v>
      </c>
      <c r="R48" s="11">
        <v>2.2299999999999995</v>
      </c>
      <c r="S48">
        <v>89</v>
      </c>
      <c r="T48">
        <v>10</v>
      </c>
      <c r="U48">
        <v>99</v>
      </c>
      <c r="V48" s="11">
        <v>89.898989898989896</v>
      </c>
    </row>
    <row r="49" spans="1:22" x14ac:dyDescent="0.4">
      <c r="A49" t="s">
        <v>139</v>
      </c>
      <c r="B49" t="s">
        <v>157</v>
      </c>
      <c r="C49" s="10">
        <v>45093</v>
      </c>
      <c r="D49" s="5" t="s">
        <v>12</v>
      </c>
      <c r="E49" t="s">
        <v>56</v>
      </c>
      <c r="F49" t="s">
        <v>202</v>
      </c>
      <c r="G49" t="s">
        <v>199</v>
      </c>
      <c r="H49">
        <v>50</v>
      </c>
      <c r="I49" t="s">
        <v>295</v>
      </c>
      <c r="J49" t="s">
        <v>296</v>
      </c>
      <c r="K49" t="s">
        <v>138</v>
      </c>
      <c r="L49" s="7">
        <v>141.53241650294694</v>
      </c>
      <c r="M49" s="6">
        <v>5.0900000000000001E-2</v>
      </c>
      <c r="N49" s="6">
        <v>0.72040000000000004</v>
      </c>
      <c r="O49">
        <v>6</v>
      </c>
      <c r="P49">
        <v>0.12006666666666667</v>
      </c>
      <c r="Q49" s="11">
        <v>2.5500000000000003</v>
      </c>
      <c r="R49" s="11">
        <v>2.1333333333333333</v>
      </c>
      <c r="S49">
        <v>92</v>
      </c>
      <c r="T49">
        <v>8</v>
      </c>
      <c r="U49">
        <v>100</v>
      </c>
      <c r="V49" s="11">
        <v>92</v>
      </c>
    </row>
    <row r="50" spans="1:22" x14ac:dyDescent="0.4">
      <c r="A50" t="s">
        <v>158</v>
      </c>
      <c r="B50" t="s">
        <v>159</v>
      </c>
      <c r="C50" s="10">
        <v>45097</v>
      </c>
      <c r="D50" s="5" t="s">
        <v>7</v>
      </c>
      <c r="E50" t="s">
        <v>57</v>
      </c>
      <c r="F50" t="s">
        <v>202</v>
      </c>
      <c r="G50" t="s">
        <v>199</v>
      </c>
      <c r="H50">
        <v>44</v>
      </c>
      <c r="I50" t="s">
        <v>297</v>
      </c>
      <c r="J50" t="s">
        <v>298</v>
      </c>
      <c r="K50" t="s">
        <v>144</v>
      </c>
      <c r="L50" s="7">
        <v>1162.8431372549019</v>
      </c>
      <c r="M50" s="6">
        <v>2.0400000000000001E-2</v>
      </c>
      <c r="N50" s="6">
        <v>2.3721999999999999</v>
      </c>
      <c r="O50">
        <v>13</v>
      </c>
      <c r="P50">
        <v>0.18247692307692306</v>
      </c>
      <c r="Q50" s="11">
        <v>2.9769230769230766</v>
      </c>
      <c r="R50" s="11">
        <v>2.0807692307692305</v>
      </c>
      <c r="S50">
        <v>91</v>
      </c>
      <c r="T50">
        <v>9</v>
      </c>
      <c r="U50">
        <v>100</v>
      </c>
      <c r="V50" s="11">
        <v>91</v>
      </c>
    </row>
    <row r="51" spans="1:22" x14ac:dyDescent="0.4">
      <c r="A51" t="s">
        <v>158</v>
      </c>
      <c r="B51" t="s">
        <v>159</v>
      </c>
      <c r="C51" s="10">
        <v>45097</v>
      </c>
      <c r="D51" s="5" t="s">
        <v>7</v>
      </c>
      <c r="E51" t="s">
        <v>58</v>
      </c>
      <c r="F51" t="s">
        <v>202</v>
      </c>
      <c r="G51" t="s">
        <v>199</v>
      </c>
      <c r="H51" t="s">
        <v>210</v>
      </c>
      <c r="I51" t="s">
        <v>299</v>
      </c>
      <c r="J51" t="s">
        <v>300</v>
      </c>
      <c r="K51" t="s">
        <v>138</v>
      </c>
      <c r="L51" s="7">
        <v>365.41062801932361</v>
      </c>
      <c r="M51" s="6">
        <v>2.07E-2</v>
      </c>
      <c r="N51" s="6">
        <v>0.75639999999999996</v>
      </c>
      <c r="O51">
        <v>6</v>
      </c>
      <c r="P51">
        <v>0.12606666666666666</v>
      </c>
      <c r="Q51" s="11">
        <v>1.8833333333333335</v>
      </c>
      <c r="R51" s="11">
        <v>1.6833333333333329</v>
      </c>
      <c r="S51">
        <v>93</v>
      </c>
      <c r="T51">
        <v>5</v>
      </c>
      <c r="U51">
        <v>100</v>
      </c>
      <c r="V51" s="11">
        <v>95</v>
      </c>
    </row>
    <row r="52" spans="1:22" x14ac:dyDescent="0.4">
      <c r="A52" t="s">
        <v>158</v>
      </c>
      <c r="B52" t="s">
        <v>159</v>
      </c>
      <c r="C52" s="10">
        <v>45097</v>
      </c>
      <c r="D52" s="5" t="s">
        <v>7</v>
      </c>
      <c r="E52" t="s">
        <v>59</v>
      </c>
      <c r="F52" t="s">
        <v>202</v>
      </c>
      <c r="G52" t="s">
        <v>199</v>
      </c>
      <c r="H52">
        <v>4</v>
      </c>
      <c r="I52" t="s">
        <v>301</v>
      </c>
      <c r="J52" t="s">
        <v>302</v>
      </c>
      <c r="K52" t="s">
        <v>144</v>
      </c>
      <c r="L52" s="7">
        <v>226.27450980392155</v>
      </c>
      <c r="M52" s="6">
        <v>2.0400000000000001E-2</v>
      </c>
      <c r="N52" s="6">
        <v>0.46160000000000001</v>
      </c>
      <c r="O52">
        <v>4</v>
      </c>
      <c r="P52">
        <v>0.1154</v>
      </c>
      <c r="Q52" s="11">
        <v>2.2749999999999999</v>
      </c>
      <c r="R52" s="11">
        <v>1.6625000000000001</v>
      </c>
      <c r="S52">
        <v>93</v>
      </c>
      <c r="T52">
        <v>7</v>
      </c>
      <c r="U52">
        <v>100</v>
      </c>
      <c r="V52" s="11">
        <v>93</v>
      </c>
    </row>
    <row r="53" spans="1:22" x14ac:dyDescent="0.4">
      <c r="A53" t="s">
        <v>158</v>
      </c>
      <c r="B53" t="s">
        <v>159</v>
      </c>
      <c r="C53" s="10">
        <v>45097</v>
      </c>
      <c r="D53" s="5" t="s">
        <v>7</v>
      </c>
      <c r="E53" t="s">
        <v>60</v>
      </c>
      <c r="F53" t="s">
        <v>202</v>
      </c>
      <c r="G53" t="s">
        <v>200</v>
      </c>
      <c r="H53">
        <v>14</v>
      </c>
      <c r="I53" t="s">
        <v>303</v>
      </c>
      <c r="J53" t="s">
        <v>304</v>
      </c>
      <c r="K53" t="s">
        <v>138</v>
      </c>
      <c r="L53" s="7">
        <v>776.41791044776119</v>
      </c>
      <c r="M53" s="6">
        <v>2.01E-2</v>
      </c>
      <c r="N53" s="6">
        <v>1.5606</v>
      </c>
      <c r="O53">
        <v>8</v>
      </c>
      <c r="P53">
        <v>0.195075</v>
      </c>
      <c r="Q53" s="11">
        <v>2.5500000000000003</v>
      </c>
      <c r="R53" s="11">
        <v>1.5749999999999997</v>
      </c>
      <c r="S53">
        <v>95</v>
      </c>
      <c r="T53">
        <v>5</v>
      </c>
      <c r="U53">
        <v>100</v>
      </c>
      <c r="V53" s="11">
        <v>95</v>
      </c>
    </row>
    <row r="54" spans="1:22" x14ac:dyDescent="0.4">
      <c r="A54" t="s">
        <v>158</v>
      </c>
      <c r="B54" t="s">
        <v>159</v>
      </c>
      <c r="C54" s="10">
        <v>45097</v>
      </c>
      <c r="D54" s="5" t="s">
        <v>7</v>
      </c>
      <c r="E54" t="s">
        <v>61</v>
      </c>
      <c r="F54" t="s">
        <v>202</v>
      </c>
      <c r="G54" t="s">
        <v>200</v>
      </c>
      <c r="H54">
        <v>9</v>
      </c>
      <c r="I54" t="s">
        <v>305</v>
      </c>
      <c r="J54" t="s">
        <v>306</v>
      </c>
      <c r="K54" t="s">
        <v>138</v>
      </c>
      <c r="L54" s="7">
        <v>150.74235807860262</v>
      </c>
      <c r="M54" s="6">
        <v>2.29E-2</v>
      </c>
      <c r="N54" s="6">
        <v>0.34520000000000001</v>
      </c>
      <c r="O54">
        <v>5</v>
      </c>
      <c r="P54">
        <v>6.9040000000000004E-2</v>
      </c>
      <c r="Q54" s="11">
        <v>2.75</v>
      </c>
      <c r="R54" s="11">
        <v>1.5900000000000003</v>
      </c>
      <c r="S54">
        <v>82</v>
      </c>
      <c r="T54">
        <v>19</v>
      </c>
      <c r="U54">
        <v>101</v>
      </c>
      <c r="V54" s="11">
        <v>81.188118811881196</v>
      </c>
    </row>
    <row r="55" spans="1:22" x14ac:dyDescent="0.4">
      <c r="A55" t="s">
        <v>160</v>
      </c>
      <c r="B55" t="s">
        <v>161</v>
      </c>
      <c r="C55" s="10">
        <v>45105</v>
      </c>
      <c r="D55" s="5" t="s">
        <v>12</v>
      </c>
      <c r="E55" t="s">
        <v>62</v>
      </c>
      <c r="F55" t="s">
        <v>197</v>
      </c>
      <c r="G55" t="s">
        <v>200</v>
      </c>
      <c r="H55">
        <v>40</v>
      </c>
      <c r="I55" t="s">
        <v>307</v>
      </c>
      <c r="J55" t="s">
        <v>308</v>
      </c>
      <c r="K55" t="s">
        <v>137</v>
      </c>
      <c r="L55" s="7">
        <v>162.37068965517244</v>
      </c>
      <c r="M55" s="6">
        <v>6.9599999999999995E-2</v>
      </c>
      <c r="N55" s="6">
        <v>1.1301000000000001</v>
      </c>
      <c r="O55">
        <v>4</v>
      </c>
      <c r="P55">
        <v>0.28252500000000003</v>
      </c>
      <c r="Q55" s="11">
        <v>2.9250000000000003</v>
      </c>
      <c r="R55" s="11">
        <v>2.3624999999999998</v>
      </c>
      <c r="S55">
        <v>92</v>
      </c>
      <c r="T55">
        <v>8</v>
      </c>
      <c r="U55">
        <v>100</v>
      </c>
      <c r="V55" s="11">
        <v>92</v>
      </c>
    </row>
    <row r="56" spans="1:22" x14ac:dyDescent="0.4">
      <c r="A56" t="s">
        <v>160</v>
      </c>
      <c r="B56" t="s">
        <v>162</v>
      </c>
      <c r="C56" s="10">
        <v>45097</v>
      </c>
      <c r="D56" s="5" t="s">
        <v>12</v>
      </c>
      <c r="E56" t="s">
        <v>63</v>
      </c>
      <c r="F56" t="s">
        <v>197</v>
      </c>
      <c r="G56" t="s">
        <v>199</v>
      </c>
      <c r="H56">
        <v>120</v>
      </c>
      <c r="I56" t="s">
        <v>309</v>
      </c>
      <c r="J56" t="s">
        <v>310</v>
      </c>
      <c r="K56" t="s">
        <v>138</v>
      </c>
      <c r="L56" s="7">
        <v>737.40041928721166</v>
      </c>
      <c r="M56" s="6">
        <v>4.7699999999999999E-2</v>
      </c>
      <c r="N56" s="6">
        <v>3.5173999999999999</v>
      </c>
      <c r="O56">
        <v>19</v>
      </c>
      <c r="P56">
        <v>0.18512631578947367</v>
      </c>
      <c r="Q56" s="11">
        <v>2.439473684210526</v>
      </c>
      <c r="R56" s="11">
        <v>2.2131578947368422</v>
      </c>
      <c r="S56">
        <v>86</v>
      </c>
      <c r="T56">
        <v>14</v>
      </c>
      <c r="U56">
        <v>100</v>
      </c>
      <c r="V56" s="11">
        <v>86</v>
      </c>
    </row>
    <row r="57" spans="1:22" x14ac:dyDescent="0.4">
      <c r="A57" t="s">
        <v>160</v>
      </c>
      <c r="B57" t="s">
        <v>162</v>
      </c>
      <c r="C57" s="10">
        <v>45097</v>
      </c>
      <c r="D57" s="5" t="s">
        <v>12</v>
      </c>
      <c r="E57" t="s">
        <v>64</v>
      </c>
      <c r="F57" t="s">
        <v>197</v>
      </c>
      <c r="G57" t="s">
        <v>199</v>
      </c>
      <c r="H57" t="s">
        <v>206</v>
      </c>
      <c r="I57" t="s">
        <v>311</v>
      </c>
      <c r="J57" t="s">
        <v>312</v>
      </c>
      <c r="K57" t="s">
        <v>138</v>
      </c>
      <c r="L57" s="7">
        <v>104.67857142857143</v>
      </c>
      <c r="M57" s="6">
        <v>2.8000000000000001E-2</v>
      </c>
      <c r="N57" s="6">
        <v>0.29310000000000003</v>
      </c>
      <c r="O57">
        <v>5</v>
      </c>
      <c r="P57">
        <v>5.8620000000000005E-2</v>
      </c>
      <c r="Q57" s="11">
        <v>2.1</v>
      </c>
      <c r="R57" s="11">
        <v>2.0300000000000002</v>
      </c>
      <c r="S57">
        <v>70</v>
      </c>
      <c r="T57">
        <v>30</v>
      </c>
      <c r="U57">
        <v>100</v>
      </c>
      <c r="V57" s="11">
        <v>70</v>
      </c>
    </row>
    <row r="58" spans="1:22" x14ac:dyDescent="0.4">
      <c r="A58" t="s">
        <v>163</v>
      </c>
      <c r="B58" t="s">
        <v>164</v>
      </c>
      <c r="C58" s="10">
        <v>45117</v>
      </c>
      <c r="D58" s="5" t="s">
        <v>12</v>
      </c>
      <c r="E58" t="s">
        <v>65</v>
      </c>
      <c r="F58" t="s">
        <v>197</v>
      </c>
      <c r="G58" t="s">
        <v>199</v>
      </c>
      <c r="H58" t="s">
        <v>210</v>
      </c>
      <c r="I58" t="s">
        <v>313</v>
      </c>
      <c r="J58" t="s">
        <v>314</v>
      </c>
      <c r="K58" t="s">
        <v>138</v>
      </c>
      <c r="L58" s="7">
        <v>525.01103752759377</v>
      </c>
      <c r="M58" s="6">
        <v>4.53E-2</v>
      </c>
      <c r="N58" s="6">
        <v>2.3782999999999999</v>
      </c>
      <c r="O58">
        <v>24</v>
      </c>
      <c r="P58">
        <v>9.9095833333333327E-2</v>
      </c>
      <c r="Q58" s="11">
        <v>1.6791666666666669</v>
      </c>
      <c r="R58" s="11">
        <v>1.7999999999999996</v>
      </c>
      <c r="S58">
        <v>80</v>
      </c>
      <c r="T58">
        <v>20</v>
      </c>
      <c r="U58">
        <v>100</v>
      </c>
      <c r="V58" s="11">
        <v>80</v>
      </c>
    </row>
    <row r="59" spans="1:22" x14ac:dyDescent="0.4">
      <c r="A59" t="s">
        <v>163</v>
      </c>
      <c r="B59" t="s">
        <v>164</v>
      </c>
      <c r="C59" s="10">
        <v>45117</v>
      </c>
      <c r="D59" s="5" t="s">
        <v>12</v>
      </c>
      <c r="E59" t="s">
        <v>66</v>
      </c>
      <c r="F59" t="s">
        <v>197</v>
      </c>
      <c r="G59" t="s">
        <v>199</v>
      </c>
      <c r="H59" t="s">
        <v>208</v>
      </c>
      <c r="I59" t="s">
        <v>315</v>
      </c>
      <c r="J59" t="s">
        <v>316</v>
      </c>
      <c r="K59" t="s">
        <v>138</v>
      </c>
      <c r="L59" s="7">
        <v>495.49397590361434</v>
      </c>
      <c r="M59" s="6">
        <v>4.1500000000000002E-2</v>
      </c>
      <c r="N59" s="6">
        <v>2.0562999999999998</v>
      </c>
      <c r="O59">
        <v>22</v>
      </c>
      <c r="P59">
        <v>9.3468181818181811E-2</v>
      </c>
      <c r="Q59" s="11">
        <v>1.9840909090909093</v>
      </c>
      <c r="R59" s="11">
        <v>2.0227272727272729</v>
      </c>
      <c r="S59">
        <v>88</v>
      </c>
      <c r="T59">
        <v>12</v>
      </c>
      <c r="U59">
        <v>100</v>
      </c>
      <c r="V59" s="11">
        <v>88</v>
      </c>
    </row>
    <row r="60" spans="1:22" x14ac:dyDescent="0.4">
      <c r="A60" t="s">
        <v>163</v>
      </c>
      <c r="B60" t="s">
        <v>164</v>
      </c>
      <c r="C60" s="10">
        <v>45117</v>
      </c>
      <c r="D60" s="5" t="s">
        <v>12</v>
      </c>
      <c r="E60" t="s">
        <v>67</v>
      </c>
      <c r="F60" t="s">
        <v>197</v>
      </c>
      <c r="G60" t="s">
        <v>199</v>
      </c>
      <c r="H60" t="s">
        <v>210</v>
      </c>
      <c r="I60" t="s">
        <v>317</v>
      </c>
      <c r="J60" t="s">
        <v>318</v>
      </c>
      <c r="K60" t="s">
        <v>138</v>
      </c>
      <c r="L60" s="7">
        <v>305.85683297180037</v>
      </c>
      <c r="M60" s="6">
        <v>4.6100000000000002E-2</v>
      </c>
      <c r="N60" s="6">
        <v>1.41</v>
      </c>
      <c r="O60">
        <v>11</v>
      </c>
      <c r="P60">
        <v>0.12818181818181817</v>
      </c>
      <c r="Q60" s="11">
        <v>2.290909090909091</v>
      </c>
      <c r="R60" s="11">
        <v>2.2000000000000002</v>
      </c>
      <c r="S60">
        <v>93</v>
      </c>
      <c r="T60">
        <v>7</v>
      </c>
      <c r="U60">
        <v>100</v>
      </c>
      <c r="V60" s="11">
        <v>93</v>
      </c>
    </row>
    <row r="61" spans="1:22" x14ac:dyDescent="0.4">
      <c r="A61" t="s">
        <v>163</v>
      </c>
      <c r="B61" t="s">
        <v>164</v>
      </c>
      <c r="C61" s="10">
        <v>45117</v>
      </c>
      <c r="D61" s="5" t="s">
        <v>12</v>
      </c>
      <c r="E61" t="s">
        <v>68</v>
      </c>
      <c r="F61" t="s">
        <v>197</v>
      </c>
      <c r="G61" t="s">
        <v>199</v>
      </c>
      <c r="H61" t="s">
        <v>206</v>
      </c>
      <c r="I61" t="s">
        <v>319</v>
      </c>
      <c r="J61" t="s">
        <v>320</v>
      </c>
      <c r="K61" t="s">
        <v>138</v>
      </c>
      <c r="L61" s="7">
        <v>775.7772621809745</v>
      </c>
      <c r="M61" s="6">
        <v>4.3099999999999999E-2</v>
      </c>
      <c r="N61" s="6">
        <v>3.3435999999999999</v>
      </c>
      <c r="O61">
        <v>40</v>
      </c>
      <c r="P61">
        <v>8.3589999999999998E-2</v>
      </c>
      <c r="Q61" s="11">
        <v>1.9674999999999998</v>
      </c>
      <c r="R61" s="11">
        <v>2.085</v>
      </c>
      <c r="S61">
        <v>95</v>
      </c>
      <c r="T61">
        <v>5</v>
      </c>
      <c r="U61">
        <v>100</v>
      </c>
      <c r="V61" s="11">
        <v>95</v>
      </c>
    </row>
    <row r="62" spans="1:22" x14ac:dyDescent="0.4">
      <c r="A62" t="s">
        <v>163</v>
      </c>
      <c r="B62" t="s">
        <v>164</v>
      </c>
      <c r="C62" s="10">
        <v>45117</v>
      </c>
      <c r="D62" s="5" t="s">
        <v>12</v>
      </c>
      <c r="E62" t="s">
        <v>69</v>
      </c>
      <c r="F62" t="s">
        <v>197</v>
      </c>
      <c r="G62" t="s">
        <v>199</v>
      </c>
      <c r="H62" t="s">
        <v>210</v>
      </c>
      <c r="I62" t="s">
        <v>321</v>
      </c>
      <c r="J62" t="s">
        <v>322</v>
      </c>
      <c r="K62" t="s">
        <v>138</v>
      </c>
      <c r="L62" s="7">
        <v>661.36612021857911</v>
      </c>
      <c r="M62" s="6">
        <v>3.6600000000000001E-2</v>
      </c>
      <c r="N62" s="6">
        <v>2.4205999999999999</v>
      </c>
      <c r="O62">
        <v>25</v>
      </c>
      <c r="P62">
        <v>9.6823999999999993E-2</v>
      </c>
      <c r="Q62" s="11">
        <v>1.9059999999999999</v>
      </c>
      <c r="R62" s="11">
        <v>1.976</v>
      </c>
      <c r="S62">
        <v>93</v>
      </c>
      <c r="T62">
        <v>7</v>
      </c>
      <c r="U62">
        <v>100</v>
      </c>
      <c r="V62" s="11">
        <v>93</v>
      </c>
    </row>
    <row r="63" spans="1:22" x14ac:dyDescent="0.4">
      <c r="A63" t="s">
        <v>163</v>
      </c>
      <c r="B63" t="s">
        <v>164</v>
      </c>
      <c r="C63" s="10">
        <v>45117</v>
      </c>
      <c r="D63" s="5" t="s">
        <v>7</v>
      </c>
      <c r="E63" t="s">
        <v>70</v>
      </c>
      <c r="F63" t="s">
        <v>197</v>
      </c>
      <c r="G63" t="s">
        <v>199</v>
      </c>
      <c r="H63" t="s">
        <v>205</v>
      </c>
      <c r="I63" t="s">
        <v>323</v>
      </c>
      <c r="J63" t="s">
        <v>324</v>
      </c>
      <c r="K63" t="s">
        <v>138</v>
      </c>
      <c r="L63" s="7">
        <v>574.17355371900828</v>
      </c>
      <c r="M63" s="6">
        <v>2.4199999999999999E-2</v>
      </c>
      <c r="N63" s="6">
        <v>1.3895</v>
      </c>
      <c r="O63">
        <v>24</v>
      </c>
      <c r="P63">
        <v>5.7895833333333334E-2</v>
      </c>
      <c r="Q63" s="11">
        <v>1.5916666666666668</v>
      </c>
      <c r="R63" s="11">
        <v>1.7812499999999998</v>
      </c>
      <c r="S63">
        <v>100</v>
      </c>
      <c r="T63">
        <v>0</v>
      </c>
      <c r="U63">
        <v>100</v>
      </c>
      <c r="V63" s="11">
        <v>100</v>
      </c>
    </row>
    <row r="64" spans="1:22" x14ac:dyDescent="0.4">
      <c r="A64" t="s">
        <v>163</v>
      </c>
      <c r="B64" t="s">
        <v>164</v>
      </c>
      <c r="C64" s="10">
        <v>45117</v>
      </c>
      <c r="D64" s="5" t="s">
        <v>7</v>
      </c>
      <c r="E64" t="s">
        <v>71</v>
      </c>
      <c r="F64" t="s">
        <v>197</v>
      </c>
      <c r="G64" t="s">
        <v>199</v>
      </c>
      <c r="H64" t="s">
        <v>210</v>
      </c>
      <c r="I64" t="s">
        <v>325</v>
      </c>
      <c r="J64" t="s">
        <v>326</v>
      </c>
      <c r="K64" t="s">
        <v>137</v>
      </c>
      <c r="L64" s="7">
        <v>676.70940170940173</v>
      </c>
      <c r="M64" s="6">
        <v>2.3400000000000001E-2</v>
      </c>
      <c r="N64" s="6">
        <v>1.5834999999999999</v>
      </c>
      <c r="O64">
        <v>16</v>
      </c>
      <c r="P64">
        <v>9.8968749999999994E-2</v>
      </c>
      <c r="Q64" s="11">
        <v>2.0843750000000001</v>
      </c>
      <c r="R64" s="11">
        <v>1.5625000000000002</v>
      </c>
      <c r="S64">
        <v>95</v>
      </c>
      <c r="T64">
        <v>4</v>
      </c>
      <c r="U64">
        <v>99</v>
      </c>
      <c r="V64" s="11">
        <v>95.959595959595958</v>
      </c>
    </row>
    <row r="65" spans="1:22" x14ac:dyDescent="0.4">
      <c r="A65" t="s">
        <v>163</v>
      </c>
      <c r="B65" t="s">
        <v>164</v>
      </c>
      <c r="C65" s="10">
        <v>45117</v>
      </c>
      <c r="D65" s="5" t="s">
        <v>7</v>
      </c>
      <c r="E65" t="s">
        <v>72</v>
      </c>
      <c r="F65" t="s">
        <v>197</v>
      </c>
      <c r="G65" t="s">
        <v>199</v>
      </c>
      <c r="H65" t="s">
        <v>206</v>
      </c>
      <c r="I65" t="s">
        <v>327</v>
      </c>
      <c r="J65" t="s">
        <v>328</v>
      </c>
      <c r="K65" t="s">
        <v>144</v>
      </c>
      <c r="L65" s="7">
        <v>807.10424710424707</v>
      </c>
      <c r="M65" s="6">
        <v>2.5899999999999999E-2</v>
      </c>
      <c r="N65" s="6">
        <v>2.0903999999999998</v>
      </c>
      <c r="O65">
        <v>17</v>
      </c>
      <c r="P65">
        <v>0.12296470588235293</v>
      </c>
      <c r="Q65" s="11">
        <v>2.4176470588235297</v>
      </c>
      <c r="R65" s="11">
        <v>1.6264705882352941</v>
      </c>
      <c r="S65">
        <v>92</v>
      </c>
      <c r="T65">
        <v>8</v>
      </c>
      <c r="U65">
        <v>100</v>
      </c>
      <c r="V65" s="11">
        <v>92</v>
      </c>
    </row>
    <row r="66" spans="1:22" x14ac:dyDescent="0.4">
      <c r="A66" t="s">
        <v>163</v>
      </c>
      <c r="B66" t="s">
        <v>165</v>
      </c>
      <c r="C66" s="10">
        <v>45117</v>
      </c>
      <c r="D66" s="5" t="s">
        <v>12</v>
      </c>
      <c r="E66" t="s">
        <v>73</v>
      </c>
      <c r="F66" t="s">
        <v>197</v>
      </c>
      <c r="G66" t="s">
        <v>199</v>
      </c>
      <c r="H66" t="s">
        <v>211</v>
      </c>
      <c r="I66" t="s">
        <v>329</v>
      </c>
      <c r="J66" t="s">
        <v>330</v>
      </c>
      <c r="K66" t="s">
        <v>138</v>
      </c>
      <c r="L66" s="7">
        <v>919.72399150743104</v>
      </c>
      <c r="M66" s="6">
        <v>4.7100000000000003E-2</v>
      </c>
      <c r="N66" s="6">
        <v>4.3319000000000001</v>
      </c>
      <c r="O66">
        <v>30</v>
      </c>
      <c r="P66">
        <v>0.14439666666666667</v>
      </c>
      <c r="Q66" s="11">
        <v>2.8066666666666666</v>
      </c>
      <c r="R66" s="11">
        <v>2.0900000000000007</v>
      </c>
      <c r="S66">
        <v>87</v>
      </c>
      <c r="T66">
        <v>10</v>
      </c>
      <c r="U66">
        <v>97</v>
      </c>
      <c r="V66" s="11">
        <v>89.690721649484544</v>
      </c>
    </row>
    <row r="67" spans="1:22" x14ac:dyDescent="0.4">
      <c r="A67" t="s">
        <v>163</v>
      </c>
      <c r="B67" t="s">
        <v>165</v>
      </c>
      <c r="C67" s="10">
        <v>45117</v>
      </c>
      <c r="D67" s="5" t="s">
        <v>12</v>
      </c>
      <c r="E67" t="s">
        <v>74</v>
      </c>
      <c r="F67" t="s">
        <v>197</v>
      </c>
      <c r="G67" t="s">
        <v>199</v>
      </c>
      <c r="H67" t="s">
        <v>210</v>
      </c>
      <c r="I67" t="s">
        <v>331</v>
      </c>
      <c r="J67" t="s">
        <v>332</v>
      </c>
      <c r="K67" t="s">
        <v>138</v>
      </c>
      <c r="L67" s="7">
        <v>83.225331369661276</v>
      </c>
      <c r="M67" s="6">
        <v>6.7900000000000002E-2</v>
      </c>
      <c r="N67" s="6">
        <v>0.56510000000000005</v>
      </c>
      <c r="O67">
        <v>6</v>
      </c>
      <c r="P67">
        <v>9.4183333333333341E-2</v>
      </c>
      <c r="Q67" s="11">
        <v>2.2166666666666668</v>
      </c>
      <c r="R67" s="11">
        <v>2.0999999999999996</v>
      </c>
      <c r="S67">
        <v>85</v>
      </c>
      <c r="T67">
        <v>15</v>
      </c>
      <c r="U67">
        <v>100</v>
      </c>
      <c r="V67" s="11">
        <v>85</v>
      </c>
    </row>
    <row r="68" spans="1:22" x14ac:dyDescent="0.4">
      <c r="A68" t="s">
        <v>163</v>
      </c>
      <c r="B68" t="s">
        <v>165</v>
      </c>
      <c r="C68" s="10">
        <v>45117</v>
      </c>
      <c r="D68" s="5" t="s">
        <v>12</v>
      </c>
      <c r="E68" t="s">
        <v>75</v>
      </c>
      <c r="F68" t="s">
        <v>197</v>
      </c>
      <c r="G68" t="s">
        <v>199</v>
      </c>
      <c r="H68" t="s">
        <v>208</v>
      </c>
      <c r="I68" t="s">
        <v>333</v>
      </c>
      <c r="J68" t="s">
        <v>334</v>
      </c>
      <c r="K68" t="s">
        <v>138</v>
      </c>
      <c r="L68" s="7">
        <v>421.77304964539013</v>
      </c>
      <c r="M68" s="6">
        <v>5.6399999999999999E-2</v>
      </c>
      <c r="N68" s="6">
        <v>2.3788</v>
      </c>
      <c r="O68">
        <v>16</v>
      </c>
      <c r="P68">
        <v>0.148675</v>
      </c>
      <c r="Q68" s="11">
        <v>2.421875</v>
      </c>
      <c r="R68" s="11">
        <v>2.2624999999999997</v>
      </c>
      <c r="S68">
        <v>93</v>
      </c>
      <c r="T68">
        <v>7</v>
      </c>
      <c r="U68">
        <v>100</v>
      </c>
      <c r="V68" s="11">
        <v>93</v>
      </c>
    </row>
    <row r="69" spans="1:22" x14ac:dyDescent="0.4">
      <c r="A69" t="s">
        <v>163</v>
      </c>
      <c r="B69" t="s">
        <v>165</v>
      </c>
      <c r="C69" s="10">
        <v>45117</v>
      </c>
      <c r="D69" s="5" t="s">
        <v>12</v>
      </c>
      <c r="E69" t="s">
        <v>76</v>
      </c>
      <c r="F69" t="s">
        <v>197</v>
      </c>
      <c r="G69" t="s">
        <v>199</v>
      </c>
      <c r="H69" t="s">
        <v>206</v>
      </c>
      <c r="I69" t="s">
        <v>335</v>
      </c>
      <c r="J69" t="s">
        <v>336</v>
      </c>
      <c r="K69" t="s">
        <v>138</v>
      </c>
      <c r="L69" s="7">
        <v>266.31970260223051</v>
      </c>
      <c r="M69" s="6">
        <v>5.3800000000000001E-2</v>
      </c>
      <c r="N69" s="6">
        <v>1.4328000000000001</v>
      </c>
      <c r="O69">
        <v>11</v>
      </c>
      <c r="P69">
        <v>0.13025454545454546</v>
      </c>
      <c r="Q69" s="11">
        <v>1.7136363636363634</v>
      </c>
      <c r="R69" s="11">
        <v>1.9727272727272729</v>
      </c>
      <c r="S69">
        <v>93</v>
      </c>
      <c r="T69">
        <v>7</v>
      </c>
      <c r="U69">
        <v>100</v>
      </c>
      <c r="V69" s="11">
        <v>93</v>
      </c>
    </row>
    <row r="70" spans="1:22" x14ac:dyDescent="0.4">
      <c r="A70" t="s">
        <v>163</v>
      </c>
      <c r="B70" t="s">
        <v>165</v>
      </c>
      <c r="C70" s="10">
        <v>45117</v>
      </c>
      <c r="D70" s="5" t="s">
        <v>12</v>
      </c>
      <c r="E70" t="s">
        <v>77</v>
      </c>
      <c r="F70" t="s">
        <v>197</v>
      </c>
      <c r="G70" t="s">
        <v>199</v>
      </c>
      <c r="H70" t="s">
        <v>206</v>
      </c>
      <c r="I70" t="s">
        <v>337</v>
      </c>
      <c r="J70" t="s">
        <v>338</v>
      </c>
      <c r="K70" t="s">
        <v>138</v>
      </c>
      <c r="L70" s="7">
        <v>721.18604651162798</v>
      </c>
      <c r="M70" s="6">
        <v>4.2999999999999997E-2</v>
      </c>
      <c r="N70" s="6">
        <v>3.1011000000000002</v>
      </c>
      <c r="O70">
        <v>19</v>
      </c>
      <c r="P70">
        <v>0.16321578947368423</v>
      </c>
      <c r="Q70" s="11">
        <v>2.2736842105263158</v>
      </c>
      <c r="R70" s="11">
        <v>2.0447368421052632</v>
      </c>
      <c r="S70">
        <v>93</v>
      </c>
      <c r="T70">
        <v>7</v>
      </c>
      <c r="U70">
        <v>100</v>
      </c>
      <c r="V70" s="11">
        <v>93</v>
      </c>
    </row>
    <row r="71" spans="1:22" x14ac:dyDescent="0.4">
      <c r="A71" t="s">
        <v>163</v>
      </c>
      <c r="B71" t="s">
        <v>166</v>
      </c>
      <c r="C71" s="10">
        <v>45118</v>
      </c>
      <c r="D71" s="5" t="s">
        <v>7</v>
      </c>
      <c r="E71" t="s">
        <v>78</v>
      </c>
      <c r="F71" t="s">
        <v>197</v>
      </c>
      <c r="G71" t="s">
        <v>199</v>
      </c>
      <c r="H71" t="s">
        <v>209</v>
      </c>
      <c r="I71" t="s">
        <v>339</v>
      </c>
      <c r="J71" t="s">
        <v>340</v>
      </c>
      <c r="K71" t="s">
        <v>144</v>
      </c>
      <c r="L71" s="7">
        <v>569.73544973544972</v>
      </c>
      <c r="M71" s="6">
        <v>1.89E-2</v>
      </c>
      <c r="N71" s="6">
        <v>1.0768</v>
      </c>
      <c r="O71">
        <v>11</v>
      </c>
      <c r="P71">
        <v>9.7890909090909084E-2</v>
      </c>
      <c r="Q71" s="11">
        <v>1.9909090909090907</v>
      </c>
      <c r="R71" s="11">
        <v>1.6</v>
      </c>
      <c r="S71">
        <v>75</v>
      </c>
      <c r="T71">
        <v>25</v>
      </c>
      <c r="U71">
        <v>100</v>
      </c>
      <c r="V71" s="11">
        <v>75</v>
      </c>
    </row>
    <row r="72" spans="1:22" x14ac:dyDescent="0.4">
      <c r="A72" t="s">
        <v>163</v>
      </c>
      <c r="B72" t="s">
        <v>166</v>
      </c>
      <c r="C72" s="10">
        <v>45118</v>
      </c>
      <c r="D72" s="5" t="s">
        <v>7</v>
      </c>
      <c r="E72" t="s">
        <v>79</v>
      </c>
      <c r="F72" t="s">
        <v>202</v>
      </c>
      <c r="G72" t="s">
        <v>199</v>
      </c>
      <c r="H72">
        <v>37</v>
      </c>
      <c r="I72" t="s">
        <v>341</v>
      </c>
      <c r="J72" t="s">
        <v>342</v>
      </c>
      <c r="K72" t="s">
        <v>138</v>
      </c>
      <c r="L72" s="7">
        <v>936.25498007968133</v>
      </c>
      <c r="M72" s="6">
        <v>2.5100000000000001E-2</v>
      </c>
      <c r="N72" s="6">
        <v>2.35</v>
      </c>
      <c r="O72">
        <v>17</v>
      </c>
      <c r="P72">
        <v>0.13823529411764707</v>
      </c>
      <c r="Q72" s="11">
        <v>2.4382352941176468</v>
      </c>
      <c r="R72" s="11">
        <v>1.6235294117647057</v>
      </c>
      <c r="S72">
        <v>79</v>
      </c>
      <c r="T72">
        <v>21</v>
      </c>
      <c r="U72">
        <v>100</v>
      </c>
      <c r="V72" s="11">
        <v>79</v>
      </c>
    </row>
    <row r="73" spans="1:22" x14ac:dyDescent="0.4">
      <c r="A73" t="s">
        <v>163</v>
      </c>
      <c r="B73" t="s">
        <v>166</v>
      </c>
      <c r="C73" s="10">
        <v>45118</v>
      </c>
      <c r="D73" s="5" t="s">
        <v>7</v>
      </c>
      <c r="E73" t="s">
        <v>80</v>
      </c>
      <c r="F73" t="s">
        <v>202</v>
      </c>
      <c r="G73" t="s">
        <v>199</v>
      </c>
      <c r="H73">
        <v>140</v>
      </c>
      <c r="I73" t="s">
        <v>343</v>
      </c>
      <c r="J73" t="s">
        <v>344</v>
      </c>
      <c r="K73" t="s">
        <v>144</v>
      </c>
      <c r="L73" s="7">
        <v>840.09803921568619</v>
      </c>
      <c r="M73" s="6">
        <v>2.0400000000000001E-2</v>
      </c>
      <c r="N73" s="6">
        <v>1.7138</v>
      </c>
      <c r="O73">
        <v>11</v>
      </c>
      <c r="P73">
        <v>0.15579999999999999</v>
      </c>
      <c r="Q73" s="11">
        <v>2.8062499999999999</v>
      </c>
      <c r="R73" s="11">
        <v>2.1093749999999996</v>
      </c>
      <c r="S73">
        <v>91</v>
      </c>
      <c r="T73">
        <v>9</v>
      </c>
      <c r="U73">
        <v>100</v>
      </c>
      <c r="V73" s="11">
        <v>91</v>
      </c>
    </row>
    <row r="74" spans="1:22" x14ac:dyDescent="0.4">
      <c r="A74" t="s">
        <v>163</v>
      </c>
      <c r="B74" t="s">
        <v>166</v>
      </c>
      <c r="C74" s="10">
        <v>45118</v>
      </c>
      <c r="D74" s="5" t="s">
        <v>12</v>
      </c>
      <c r="E74" t="s">
        <v>81</v>
      </c>
      <c r="F74" t="s">
        <v>202</v>
      </c>
      <c r="G74" t="s">
        <v>199</v>
      </c>
      <c r="H74">
        <v>40</v>
      </c>
      <c r="I74" t="s">
        <v>345</v>
      </c>
      <c r="J74" t="s">
        <v>346</v>
      </c>
      <c r="K74" t="s">
        <v>138</v>
      </c>
      <c r="L74" s="7">
        <v>150.14792899408286</v>
      </c>
      <c r="M74" s="6">
        <v>3.3799999999999997E-2</v>
      </c>
      <c r="N74" s="6">
        <v>0.50749999999999995</v>
      </c>
      <c r="O74">
        <v>11</v>
      </c>
      <c r="P74">
        <v>4.6136363636363635E-2</v>
      </c>
      <c r="Q74" s="11">
        <v>1.9500000000000002</v>
      </c>
      <c r="R74" s="11">
        <v>1.5909090909090906</v>
      </c>
      <c r="S74">
        <v>80</v>
      </c>
      <c r="T74">
        <v>20</v>
      </c>
      <c r="U74">
        <v>100</v>
      </c>
      <c r="V74" s="11">
        <v>80</v>
      </c>
    </row>
    <row r="75" spans="1:22" x14ac:dyDescent="0.4">
      <c r="A75" t="s">
        <v>163</v>
      </c>
      <c r="B75" t="s">
        <v>166</v>
      </c>
      <c r="C75" s="10">
        <v>45118</v>
      </c>
      <c r="D75" s="5" t="s">
        <v>7</v>
      </c>
      <c r="E75" t="s">
        <v>82</v>
      </c>
      <c r="F75" t="s">
        <v>202</v>
      </c>
      <c r="G75" t="s">
        <v>199</v>
      </c>
      <c r="H75" t="s">
        <v>212</v>
      </c>
      <c r="I75" t="s">
        <v>323</v>
      </c>
      <c r="J75" t="s">
        <v>347</v>
      </c>
      <c r="K75" t="s">
        <v>144</v>
      </c>
      <c r="L75" s="7">
        <v>1061.4671814671815</v>
      </c>
      <c r="M75" s="6">
        <v>2.5899999999999999E-2</v>
      </c>
      <c r="N75" s="6">
        <v>2.7492000000000001</v>
      </c>
      <c r="O75">
        <v>23</v>
      </c>
      <c r="P75">
        <v>0.1195304347826087</v>
      </c>
      <c r="Q75" s="11">
        <v>1.7326086956521736</v>
      </c>
      <c r="R75" s="11">
        <v>1.5869565217391308</v>
      </c>
      <c r="S75">
        <v>92</v>
      </c>
      <c r="T75">
        <v>8</v>
      </c>
      <c r="U75">
        <v>100</v>
      </c>
      <c r="V75" s="11">
        <v>92</v>
      </c>
    </row>
    <row r="76" spans="1:22" x14ac:dyDescent="0.4">
      <c r="A76" t="s">
        <v>163</v>
      </c>
      <c r="B76" t="s">
        <v>166</v>
      </c>
      <c r="C76" s="10">
        <v>45118</v>
      </c>
      <c r="D76" s="5" t="s">
        <v>7</v>
      </c>
      <c r="E76" t="s">
        <v>83</v>
      </c>
      <c r="F76" t="s">
        <v>202</v>
      </c>
      <c r="G76" t="s">
        <v>199</v>
      </c>
      <c r="H76" t="s">
        <v>210</v>
      </c>
      <c r="I76" t="s">
        <v>348</v>
      </c>
      <c r="J76" t="s">
        <v>347</v>
      </c>
      <c r="K76" t="s">
        <v>138</v>
      </c>
      <c r="L76" s="7">
        <v>586.35658914728674</v>
      </c>
      <c r="M76" s="6">
        <v>2.58E-2</v>
      </c>
      <c r="N76" s="6">
        <v>1.5127999999999999</v>
      </c>
      <c r="O76">
        <v>12</v>
      </c>
      <c r="P76">
        <v>0.12606666666666666</v>
      </c>
      <c r="Q76" s="11">
        <v>1.8708333333333333</v>
      </c>
      <c r="R76" s="11">
        <v>1.6083333333333332</v>
      </c>
      <c r="S76">
        <v>96</v>
      </c>
      <c r="T76">
        <v>5</v>
      </c>
      <c r="U76">
        <v>101</v>
      </c>
      <c r="V76" s="11">
        <v>95.049504950495049</v>
      </c>
    </row>
    <row r="77" spans="1:22" x14ac:dyDescent="0.4">
      <c r="A77" t="s">
        <v>163</v>
      </c>
      <c r="B77" t="s">
        <v>167</v>
      </c>
      <c r="C77" s="10">
        <v>45118</v>
      </c>
      <c r="D77" s="5" t="s">
        <v>7</v>
      </c>
      <c r="E77" t="s">
        <v>84</v>
      </c>
      <c r="F77" t="s">
        <v>197</v>
      </c>
      <c r="G77" t="s">
        <v>199</v>
      </c>
      <c r="H77" t="s">
        <v>213</v>
      </c>
      <c r="I77" t="s">
        <v>349</v>
      </c>
      <c r="J77" t="s">
        <v>350</v>
      </c>
      <c r="K77" t="s">
        <v>138</v>
      </c>
      <c r="L77" s="7">
        <v>930.10416666666674</v>
      </c>
      <c r="M77" s="6">
        <v>1.9199999999999998E-2</v>
      </c>
      <c r="N77" s="6">
        <v>1.7858000000000001</v>
      </c>
      <c r="O77">
        <v>22</v>
      </c>
      <c r="P77">
        <v>8.1172727272727271E-2</v>
      </c>
      <c r="Q77" s="11">
        <v>1.7250000000000001</v>
      </c>
      <c r="R77" s="11">
        <v>1.4590909090909088</v>
      </c>
      <c r="S77">
        <v>84</v>
      </c>
      <c r="T77">
        <v>16</v>
      </c>
      <c r="U77">
        <v>100</v>
      </c>
      <c r="V77" s="11">
        <v>84</v>
      </c>
    </row>
    <row r="78" spans="1:22" x14ac:dyDescent="0.4">
      <c r="A78" t="s">
        <v>163</v>
      </c>
      <c r="B78" t="s">
        <v>167</v>
      </c>
      <c r="C78" s="10">
        <v>45118</v>
      </c>
      <c r="D78" s="5" t="s">
        <v>7</v>
      </c>
      <c r="E78" t="s">
        <v>85</v>
      </c>
      <c r="F78" t="s">
        <v>202</v>
      </c>
      <c r="G78" t="s">
        <v>199</v>
      </c>
      <c r="H78" t="s">
        <v>214</v>
      </c>
      <c r="I78" t="s">
        <v>351</v>
      </c>
      <c r="J78" t="s">
        <v>352</v>
      </c>
      <c r="K78" t="s">
        <v>138</v>
      </c>
      <c r="L78" s="7">
        <v>782.07253886010358</v>
      </c>
      <c r="M78" s="6">
        <v>1.9300000000000001E-2</v>
      </c>
      <c r="N78" s="6">
        <v>1.5094000000000001</v>
      </c>
      <c r="O78">
        <v>14</v>
      </c>
      <c r="P78">
        <v>0.10781428571428572</v>
      </c>
      <c r="Q78" s="11">
        <v>2.0964285714285715</v>
      </c>
      <c r="R78" s="11">
        <v>1.3821428571428569</v>
      </c>
      <c r="S78">
        <v>74</v>
      </c>
      <c r="T78">
        <v>26</v>
      </c>
      <c r="U78">
        <v>100</v>
      </c>
      <c r="V78" s="11">
        <v>74</v>
      </c>
    </row>
    <row r="79" spans="1:22" x14ac:dyDescent="0.4">
      <c r="A79" t="s">
        <v>163</v>
      </c>
      <c r="B79" t="s">
        <v>167</v>
      </c>
      <c r="C79" s="10">
        <v>45118</v>
      </c>
      <c r="D79" s="5" t="s">
        <v>7</v>
      </c>
      <c r="E79" t="s">
        <v>86</v>
      </c>
      <c r="F79" t="s">
        <v>202</v>
      </c>
      <c r="G79" t="s">
        <v>199</v>
      </c>
      <c r="H79" t="s">
        <v>209</v>
      </c>
      <c r="I79" t="s">
        <v>353</v>
      </c>
      <c r="J79" t="s">
        <v>354</v>
      </c>
      <c r="K79" t="s">
        <v>138</v>
      </c>
      <c r="L79" s="7">
        <v>762.94642857142867</v>
      </c>
      <c r="M79" s="6">
        <v>2.24E-2</v>
      </c>
      <c r="N79" s="6">
        <v>1.7090000000000001</v>
      </c>
      <c r="O79">
        <v>20</v>
      </c>
      <c r="P79">
        <v>8.5449999999999998E-2</v>
      </c>
      <c r="Q79" s="11">
        <v>1.75</v>
      </c>
      <c r="R79" s="11">
        <v>1.4825000000000002</v>
      </c>
      <c r="S79">
        <v>96</v>
      </c>
      <c r="T79">
        <v>4</v>
      </c>
      <c r="U79">
        <v>100</v>
      </c>
      <c r="V79" s="11">
        <v>96</v>
      </c>
    </row>
    <row r="80" spans="1:22" x14ac:dyDescent="0.4">
      <c r="A80" t="s">
        <v>163</v>
      </c>
      <c r="B80" t="s">
        <v>167</v>
      </c>
      <c r="C80" s="10">
        <v>45118</v>
      </c>
      <c r="D80" s="5" t="s">
        <v>7</v>
      </c>
      <c r="E80" t="s">
        <v>87</v>
      </c>
      <c r="F80" t="s">
        <v>202</v>
      </c>
      <c r="G80" t="s">
        <v>199</v>
      </c>
      <c r="H80">
        <v>120</v>
      </c>
      <c r="I80" t="s">
        <v>355</v>
      </c>
      <c r="J80" t="s">
        <v>356</v>
      </c>
      <c r="K80" t="s">
        <v>138</v>
      </c>
      <c r="L80" s="7">
        <v>743.50961538461547</v>
      </c>
      <c r="M80" s="6">
        <v>2.0799999999999999E-2</v>
      </c>
      <c r="N80" s="6">
        <v>1.5465</v>
      </c>
      <c r="O80">
        <v>11</v>
      </c>
      <c r="P80">
        <v>0.1405909090909091</v>
      </c>
      <c r="Q80" s="11">
        <v>2.4999999999999996</v>
      </c>
      <c r="R80" s="11">
        <v>1.6909090909090911</v>
      </c>
      <c r="S80">
        <v>12</v>
      </c>
      <c r="T80">
        <v>88</v>
      </c>
      <c r="U80">
        <v>100</v>
      </c>
      <c r="V80" s="11">
        <v>12</v>
      </c>
    </row>
    <row r="81" spans="1:22" x14ac:dyDescent="0.4">
      <c r="A81" t="s">
        <v>163</v>
      </c>
      <c r="B81" t="s">
        <v>167</v>
      </c>
      <c r="C81" s="10">
        <v>45118</v>
      </c>
      <c r="D81" s="5" t="s">
        <v>7</v>
      </c>
      <c r="E81" t="s">
        <v>88</v>
      </c>
      <c r="F81" t="s">
        <v>202</v>
      </c>
      <c r="G81" t="s">
        <v>199</v>
      </c>
      <c r="H81">
        <v>76</v>
      </c>
      <c r="I81" t="s">
        <v>357</v>
      </c>
      <c r="J81" t="s">
        <v>358</v>
      </c>
      <c r="K81" t="s">
        <v>138</v>
      </c>
      <c r="L81" s="7">
        <v>1000.4347826086957</v>
      </c>
      <c r="M81" s="6">
        <v>2.3E-2</v>
      </c>
      <c r="N81" s="6">
        <v>2.3010000000000002</v>
      </c>
      <c r="O81">
        <v>22</v>
      </c>
      <c r="P81">
        <v>0.1045909090909091</v>
      </c>
      <c r="Q81" s="11">
        <v>1.9636363636363632</v>
      </c>
      <c r="R81" s="11">
        <v>1.5727272727272732</v>
      </c>
      <c r="S81">
        <v>78</v>
      </c>
      <c r="T81">
        <v>22</v>
      </c>
      <c r="U81">
        <v>100</v>
      </c>
      <c r="V81" s="11">
        <v>78</v>
      </c>
    </row>
    <row r="82" spans="1:22" x14ac:dyDescent="0.4">
      <c r="A82" t="s">
        <v>163</v>
      </c>
      <c r="B82" t="s">
        <v>168</v>
      </c>
      <c r="C82" s="10">
        <v>45118</v>
      </c>
      <c r="D82" s="5" t="s">
        <v>12</v>
      </c>
      <c r="E82" t="s">
        <v>89</v>
      </c>
      <c r="F82" t="s">
        <v>197</v>
      </c>
      <c r="G82" t="s">
        <v>199</v>
      </c>
      <c r="H82">
        <v>15</v>
      </c>
      <c r="I82" t="s">
        <v>359</v>
      </c>
      <c r="J82" t="s">
        <v>360</v>
      </c>
      <c r="K82" t="s">
        <v>138</v>
      </c>
      <c r="L82" s="7">
        <v>67.909604519774007</v>
      </c>
      <c r="M82" s="6">
        <v>5.3100000000000001E-2</v>
      </c>
      <c r="N82" s="6">
        <v>0.36059999999999998</v>
      </c>
      <c r="O82">
        <v>5</v>
      </c>
      <c r="P82">
        <v>7.211999999999999E-2</v>
      </c>
      <c r="Q82" s="11">
        <v>2.8200000000000003</v>
      </c>
      <c r="R82" s="11">
        <v>2.4299999999999997</v>
      </c>
      <c r="S82">
        <v>85</v>
      </c>
      <c r="T82">
        <v>15</v>
      </c>
      <c r="U82">
        <v>100</v>
      </c>
      <c r="V82" s="11">
        <v>85</v>
      </c>
    </row>
    <row r="83" spans="1:22" x14ac:dyDescent="0.4">
      <c r="A83" t="s">
        <v>163</v>
      </c>
      <c r="B83" t="s">
        <v>168</v>
      </c>
      <c r="C83" s="10">
        <v>45118</v>
      </c>
      <c r="D83" s="5" t="s">
        <v>12</v>
      </c>
      <c r="E83" t="s">
        <v>90</v>
      </c>
      <c r="F83" t="s">
        <v>197</v>
      </c>
      <c r="G83" t="s">
        <v>199</v>
      </c>
      <c r="H83" t="s">
        <v>215</v>
      </c>
      <c r="I83" t="s">
        <v>361</v>
      </c>
      <c r="J83" t="s">
        <v>362</v>
      </c>
      <c r="K83" t="s">
        <v>138</v>
      </c>
      <c r="L83" s="7">
        <v>579.31782945736438</v>
      </c>
      <c r="M83" s="6">
        <v>6.4500000000000002E-2</v>
      </c>
      <c r="N83" s="6">
        <v>3.7366000000000001</v>
      </c>
      <c r="O83">
        <v>24</v>
      </c>
      <c r="P83">
        <v>0.15569166666666667</v>
      </c>
      <c r="Q83" s="11">
        <v>2.3895833333333334</v>
      </c>
      <c r="R83" s="11">
        <v>2.1416666666666671</v>
      </c>
      <c r="S83">
        <v>82</v>
      </c>
      <c r="T83">
        <v>18</v>
      </c>
      <c r="U83">
        <v>100</v>
      </c>
      <c r="V83" s="11">
        <v>82</v>
      </c>
    </row>
    <row r="84" spans="1:22" x14ac:dyDescent="0.4">
      <c r="A84" t="s">
        <v>163</v>
      </c>
      <c r="B84" t="s">
        <v>168</v>
      </c>
      <c r="C84" s="10">
        <v>45118</v>
      </c>
      <c r="D84" s="5" t="s">
        <v>12</v>
      </c>
      <c r="E84" t="s">
        <v>91</v>
      </c>
      <c r="F84" t="s">
        <v>197</v>
      </c>
      <c r="G84" t="s">
        <v>199</v>
      </c>
      <c r="H84">
        <v>80</v>
      </c>
      <c r="I84" t="s">
        <v>363</v>
      </c>
      <c r="J84" t="s">
        <v>364</v>
      </c>
      <c r="K84" t="s">
        <v>144</v>
      </c>
      <c r="L84" s="7">
        <v>197.88888888888891</v>
      </c>
      <c r="M84" s="6">
        <v>3.5999999999999997E-2</v>
      </c>
      <c r="N84" s="6">
        <v>0.71240000000000003</v>
      </c>
      <c r="O84">
        <v>8</v>
      </c>
      <c r="P84">
        <v>8.9050000000000004E-2</v>
      </c>
      <c r="Q84" s="11">
        <v>2.1937500000000001</v>
      </c>
      <c r="R84" s="11">
        <v>1.9562499999999998</v>
      </c>
      <c r="S84">
        <v>89</v>
      </c>
      <c r="T84">
        <v>11</v>
      </c>
      <c r="U84">
        <v>100</v>
      </c>
      <c r="V84" s="11">
        <v>89</v>
      </c>
    </row>
    <row r="85" spans="1:22" x14ac:dyDescent="0.4">
      <c r="A85" t="s">
        <v>163</v>
      </c>
      <c r="B85" t="s">
        <v>168</v>
      </c>
      <c r="C85" s="10">
        <v>45118</v>
      </c>
      <c r="D85" s="5" t="s">
        <v>12</v>
      </c>
      <c r="E85" t="s">
        <v>92</v>
      </c>
      <c r="F85" t="s">
        <v>197</v>
      </c>
      <c r="G85" t="s">
        <v>199</v>
      </c>
      <c r="H85" t="s">
        <v>216</v>
      </c>
      <c r="I85" t="s">
        <v>365</v>
      </c>
      <c r="J85" t="s">
        <v>366</v>
      </c>
      <c r="K85" t="s">
        <v>138</v>
      </c>
      <c r="L85" s="7">
        <v>696.9170984455958</v>
      </c>
      <c r="M85" s="6">
        <v>3.8600000000000002E-2</v>
      </c>
      <c r="N85" s="6">
        <v>2.6901000000000002</v>
      </c>
      <c r="O85">
        <v>26</v>
      </c>
      <c r="P85">
        <v>0.10346538461538463</v>
      </c>
      <c r="Q85" s="11">
        <v>2.0711538461538463</v>
      </c>
      <c r="R85" s="11">
        <v>1.7865384615384614</v>
      </c>
      <c r="S85">
        <v>84</v>
      </c>
      <c r="T85">
        <v>17</v>
      </c>
      <c r="U85">
        <v>101</v>
      </c>
      <c r="V85" s="11">
        <v>83.168316831683171</v>
      </c>
    </row>
    <row r="86" spans="1:22" x14ac:dyDescent="0.4">
      <c r="A86" t="s">
        <v>163</v>
      </c>
      <c r="B86" t="s">
        <v>168</v>
      </c>
      <c r="C86" s="10">
        <v>45118</v>
      </c>
      <c r="D86" s="5" t="s">
        <v>12</v>
      </c>
      <c r="E86" t="s">
        <v>93</v>
      </c>
      <c r="F86" t="s">
        <v>197</v>
      </c>
      <c r="G86" t="s">
        <v>199</v>
      </c>
      <c r="H86">
        <v>70</v>
      </c>
      <c r="I86" t="s">
        <v>367</v>
      </c>
      <c r="J86" t="s">
        <v>368</v>
      </c>
      <c r="K86" t="s">
        <v>138</v>
      </c>
      <c r="L86" s="7">
        <v>276.35359116022096</v>
      </c>
      <c r="M86" s="6">
        <v>5.4300000000000001E-2</v>
      </c>
      <c r="N86" s="6">
        <v>1.5005999999999999</v>
      </c>
      <c r="O86">
        <v>8</v>
      </c>
      <c r="P86">
        <v>0.18757499999999999</v>
      </c>
      <c r="Q86" s="11">
        <v>2.3624999999999998</v>
      </c>
      <c r="R86" s="11">
        <v>1.8062499999999999</v>
      </c>
      <c r="S86">
        <v>90</v>
      </c>
      <c r="T86">
        <v>10</v>
      </c>
      <c r="U86">
        <v>100</v>
      </c>
      <c r="V86" s="11">
        <v>90</v>
      </c>
    </row>
    <row r="87" spans="1:22" x14ac:dyDescent="0.4">
      <c r="A87" t="s">
        <v>163</v>
      </c>
      <c r="B87" t="s">
        <v>169</v>
      </c>
      <c r="C87" s="10">
        <v>45119</v>
      </c>
      <c r="D87" s="5" t="s">
        <v>7</v>
      </c>
      <c r="E87" t="s">
        <v>94</v>
      </c>
      <c r="F87" t="s">
        <v>197</v>
      </c>
      <c r="G87" t="s">
        <v>199</v>
      </c>
      <c r="H87" t="s">
        <v>215</v>
      </c>
      <c r="I87" t="s">
        <v>369</v>
      </c>
      <c r="J87" t="s">
        <v>370</v>
      </c>
      <c r="K87" t="s">
        <v>138</v>
      </c>
      <c r="L87" s="7">
        <v>105.65909090909091</v>
      </c>
      <c r="M87" s="6">
        <v>0.22</v>
      </c>
      <c r="N87" s="6">
        <v>2.3245</v>
      </c>
      <c r="O87">
        <v>21</v>
      </c>
      <c r="P87">
        <v>0.11069047619047619</v>
      </c>
      <c r="Q87" s="11">
        <v>1.8833333333333329</v>
      </c>
      <c r="R87" s="11">
        <v>1.4976190476190478</v>
      </c>
      <c r="S87">
        <v>93</v>
      </c>
      <c r="T87">
        <v>27</v>
      </c>
      <c r="U87">
        <v>100</v>
      </c>
      <c r="V87" s="11">
        <v>73</v>
      </c>
    </row>
    <row r="88" spans="1:22" x14ac:dyDescent="0.4">
      <c r="A88" t="s">
        <v>163</v>
      </c>
      <c r="B88" t="s">
        <v>169</v>
      </c>
      <c r="C88" s="10">
        <v>45119</v>
      </c>
      <c r="D88" s="5" t="s">
        <v>7</v>
      </c>
      <c r="E88" t="s">
        <v>95</v>
      </c>
      <c r="F88" t="s">
        <v>202</v>
      </c>
      <c r="G88" t="s">
        <v>199</v>
      </c>
      <c r="H88">
        <v>84</v>
      </c>
      <c r="I88" t="s">
        <v>371</v>
      </c>
      <c r="J88" t="s">
        <v>372</v>
      </c>
      <c r="K88" t="s">
        <v>138</v>
      </c>
      <c r="L88" s="7">
        <v>549.33962264150955</v>
      </c>
      <c r="M88" s="6">
        <v>2.12E-2</v>
      </c>
      <c r="N88" s="6">
        <v>1.1646000000000001</v>
      </c>
      <c r="O88">
        <v>12</v>
      </c>
      <c r="P88">
        <v>9.7050000000000011E-2</v>
      </c>
      <c r="Q88" s="11">
        <v>2.0750000000000002</v>
      </c>
      <c r="R88" s="11">
        <v>1.5750000000000002</v>
      </c>
      <c r="S88">
        <v>72</v>
      </c>
      <c r="T88">
        <v>28</v>
      </c>
      <c r="U88">
        <v>100</v>
      </c>
      <c r="V88" s="11">
        <v>72</v>
      </c>
    </row>
    <row r="89" spans="1:22" x14ac:dyDescent="0.4">
      <c r="A89" t="s">
        <v>163</v>
      </c>
      <c r="B89" t="s">
        <v>169</v>
      </c>
      <c r="C89" s="10">
        <v>45119</v>
      </c>
      <c r="D89" s="5" t="s">
        <v>7</v>
      </c>
      <c r="E89" t="s">
        <v>96</v>
      </c>
      <c r="F89" t="s">
        <v>202</v>
      </c>
      <c r="G89" t="s">
        <v>199</v>
      </c>
      <c r="H89">
        <v>12</v>
      </c>
      <c r="I89" t="s">
        <v>373</v>
      </c>
      <c r="J89" t="s">
        <v>374</v>
      </c>
      <c r="K89" t="s">
        <v>137</v>
      </c>
      <c r="L89" s="7">
        <v>375.54054054054052</v>
      </c>
      <c r="M89" s="6">
        <v>2.2200000000000001E-2</v>
      </c>
      <c r="N89" s="6">
        <v>0.8337</v>
      </c>
      <c r="O89">
        <v>8</v>
      </c>
      <c r="P89">
        <v>0.1042125</v>
      </c>
      <c r="Q89" s="11">
        <v>2.1875</v>
      </c>
      <c r="R89" s="11">
        <v>1.55</v>
      </c>
      <c r="S89">
        <v>80</v>
      </c>
      <c r="T89">
        <v>21</v>
      </c>
      <c r="U89">
        <v>101</v>
      </c>
      <c r="V89" s="11">
        <v>79.207920792079207</v>
      </c>
    </row>
    <row r="90" spans="1:22" x14ac:dyDescent="0.4">
      <c r="A90" t="s">
        <v>163</v>
      </c>
      <c r="B90" t="s">
        <v>169</v>
      </c>
      <c r="C90" s="10">
        <v>45119</v>
      </c>
      <c r="D90" s="5" t="s">
        <v>7</v>
      </c>
      <c r="E90" t="s">
        <v>97</v>
      </c>
      <c r="F90" t="s">
        <v>202</v>
      </c>
      <c r="G90" t="s">
        <v>199</v>
      </c>
      <c r="H90">
        <v>177</v>
      </c>
      <c r="I90" t="s">
        <v>375</v>
      </c>
      <c r="J90" t="s">
        <v>376</v>
      </c>
      <c r="K90" t="s">
        <v>138</v>
      </c>
      <c r="L90" s="7">
        <v>1214.7234042553191</v>
      </c>
      <c r="M90" s="6">
        <v>2.35E-2</v>
      </c>
      <c r="N90" s="6">
        <v>2.8546</v>
      </c>
      <c r="O90">
        <v>24</v>
      </c>
      <c r="P90">
        <v>0.11894166666666667</v>
      </c>
      <c r="Q90" s="11">
        <v>1.9812500000000002</v>
      </c>
      <c r="R90" s="11">
        <v>1.552083333333333</v>
      </c>
      <c r="S90">
        <v>85</v>
      </c>
      <c r="T90">
        <v>15</v>
      </c>
      <c r="U90">
        <v>100</v>
      </c>
      <c r="V90" s="11">
        <v>85</v>
      </c>
    </row>
    <row r="91" spans="1:22" x14ac:dyDescent="0.4">
      <c r="A91" t="s">
        <v>163</v>
      </c>
      <c r="B91" t="s">
        <v>169</v>
      </c>
      <c r="C91" s="10">
        <v>45119</v>
      </c>
      <c r="D91" s="5" t="s">
        <v>7</v>
      </c>
      <c r="E91" t="s">
        <v>98</v>
      </c>
      <c r="F91" t="s">
        <v>202</v>
      </c>
      <c r="G91" t="s">
        <v>199</v>
      </c>
      <c r="H91">
        <v>32</v>
      </c>
      <c r="I91" t="s">
        <v>377</v>
      </c>
      <c r="J91" t="s">
        <v>378</v>
      </c>
      <c r="K91" t="s">
        <v>137</v>
      </c>
      <c r="L91" s="7">
        <v>222.8440366972477</v>
      </c>
      <c r="M91" s="6">
        <v>2.18E-2</v>
      </c>
      <c r="N91" s="6">
        <v>0.48580000000000001</v>
      </c>
      <c r="O91">
        <v>11</v>
      </c>
      <c r="P91">
        <v>4.4163636363636363E-2</v>
      </c>
      <c r="Q91" s="11">
        <v>1.3636363636363635</v>
      </c>
      <c r="R91" s="11">
        <v>1.2590909090909093</v>
      </c>
      <c r="S91">
        <v>97</v>
      </c>
      <c r="T91">
        <v>3</v>
      </c>
      <c r="U91">
        <v>100</v>
      </c>
      <c r="V91" s="11">
        <v>97</v>
      </c>
    </row>
    <row r="92" spans="1:22" x14ac:dyDescent="0.4">
      <c r="A92" t="s">
        <v>163</v>
      </c>
      <c r="B92" t="s">
        <v>169</v>
      </c>
      <c r="C92" s="10">
        <v>45119</v>
      </c>
      <c r="D92" s="5" t="s">
        <v>7</v>
      </c>
      <c r="E92" t="s">
        <v>99</v>
      </c>
      <c r="F92" t="s">
        <v>202</v>
      </c>
      <c r="G92" t="s">
        <v>199</v>
      </c>
      <c r="H92">
        <v>11</v>
      </c>
      <c r="I92" t="s">
        <v>379</v>
      </c>
      <c r="J92" t="s">
        <v>374</v>
      </c>
      <c r="K92" t="s">
        <v>144</v>
      </c>
      <c r="L92" s="7">
        <v>276.57657657657654</v>
      </c>
      <c r="M92" s="6">
        <v>2.2200000000000001E-2</v>
      </c>
      <c r="N92" s="6">
        <v>0.61399999999999999</v>
      </c>
      <c r="O92">
        <v>13</v>
      </c>
      <c r="P92">
        <v>4.7230769230769229E-2</v>
      </c>
      <c r="Q92" s="11">
        <v>1.323076923076923</v>
      </c>
      <c r="R92" s="11">
        <v>1.3076923076923077</v>
      </c>
      <c r="S92">
        <v>86</v>
      </c>
      <c r="T92">
        <v>13</v>
      </c>
      <c r="U92">
        <v>100</v>
      </c>
      <c r="V92" s="11">
        <v>87</v>
      </c>
    </row>
    <row r="93" spans="1:22" x14ac:dyDescent="0.4">
      <c r="A93" t="s">
        <v>163</v>
      </c>
      <c r="B93" t="s">
        <v>170</v>
      </c>
      <c r="C93" s="10">
        <v>45119</v>
      </c>
      <c r="D93" s="5" t="s">
        <v>12</v>
      </c>
      <c r="E93" t="s">
        <v>100</v>
      </c>
      <c r="F93" t="s">
        <v>202</v>
      </c>
      <c r="G93" t="s">
        <v>199</v>
      </c>
      <c r="H93" t="s">
        <v>205</v>
      </c>
      <c r="I93" t="s">
        <v>380</v>
      </c>
      <c r="J93" t="s">
        <v>381</v>
      </c>
      <c r="K93" t="s">
        <v>138</v>
      </c>
      <c r="L93" s="7">
        <v>425.38265306122446</v>
      </c>
      <c r="M93" s="6">
        <v>3.9199999999999999E-2</v>
      </c>
      <c r="N93" s="6">
        <v>1.6675</v>
      </c>
      <c r="O93">
        <v>17</v>
      </c>
      <c r="P93">
        <v>9.8088235294117643E-2</v>
      </c>
      <c r="Q93" s="11">
        <v>1.8970588235294112</v>
      </c>
      <c r="R93" s="11">
        <v>1.914705882352941</v>
      </c>
      <c r="S93">
        <v>85</v>
      </c>
      <c r="T93">
        <v>15</v>
      </c>
      <c r="U93">
        <v>100</v>
      </c>
      <c r="V93" s="11">
        <v>85</v>
      </c>
    </row>
    <row r="94" spans="1:22" x14ac:dyDescent="0.4">
      <c r="A94" t="s">
        <v>163</v>
      </c>
      <c r="B94" t="s">
        <v>170</v>
      </c>
      <c r="C94" s="10">
        <v>45119</v>
      </c>
      <c r="D94" s="5" t="s">
        <v>12</v>
      </c>
      <c r="E94" t="s">
        <v>101</v>
      </c>
      <c r="F94" t="s">
        <v>197</v>
      </c>
      <c r="G94" t="s">
        <v>199</v>
      </c>
      <c r="H94">
        <v>101</v>
      </c>
      <c r="I94" t="s">
        <v>382</v>
      </c>
      <c r="J94" t="s">
        <v>383</v>
      </c>
      <c r="K94" t="s">
        <v>138</v>
      </c>
      <c r="L94" s="7">
        <v>140.2194357366771</v>
      </c>
      <c r="M94" s="6">
        <v>6.3799999999999996E-2</v>
      </c>
      <c r="N94" s="6">
        <v>0.89459999999999995</v>
      </c>
      <c r="O94">
        <v>8</v>
      </c>
      <c r="P94">
        <v>0.11182499999999999</v>
      </c>
      <c r="Q94" s="11">
        <v>1.9375</v>
      </c>
      <c r="R94" s="11">
        <v>2.0062500000000001</v>
      </c>
      <c r="S94">
        <v>96</v>
      </c>
      <c r="T94">
        <v>4</v>
      </c>
      <c r="U94">
        <v>100</v>
      </c>
      <c r="V94" s="11">
        <v>96</v>
      </c>
    </row>
    <row r="95" spans="1:22" x14ac:dyDescent="0.4">
      <c r="A95" t="s">
        <v>163</v>
      </c>
      <c r="B95" t="s">
        <v>170</v>
      </c>
      <c r="C95" s="10">
        <v>45119</v>
      </c>
      <c r="D95" s="5" t="s">
        <v>12</v>
      </c>
      <c r="E95" t="s">
        <v>102</v>
      </c>
      <c r="F95" t="s">
        <v>197</v>
      </c>
      <c r="G95" t="s">
        <v>199</v>
      </c>
      <c r="H95">
        <v>56</v>
      </c>
      <c r="I95" t="s">
        <v>384</v>
      </c>
      <c r="J95" t="s">
        <v>385</v>
      </c>
      <c r="K95" t="s">
        <v>138</v>
      </c>
      <c r="L95" s="7">
        <v>85.456919060052201</v>
      </c>
      <c r="M95" s="6">
        <v>3.8300000000000001E-2</v>
      </c>
      <c r="N95" s="6">
        <v>0.32729999999999998</v>
      </c>
      <c r="O95">
        <v>9</v>
      </c>
      <c r="P95">
        <v>3.6366666666666665E-2</v>
      </c>
      <c r="Q95" s="11">
        <v>1.6722222222222225</v>
      </c>
      <c r="R95" s="11">
        <v>1.8722222222222225</v>
      </c>
      <c r="S95">
        <v>56</v>
      </c>
      <c r="T95">
        <v>29</v>
      </c>
      <c r="U95">
        <v>85</v>
      </c>
      <c r="V95" s="11">
        <v>65.882352941176464</v>
      </c>
    </row>
    <row r="96" spans="1:22" x14ac:dyDescent="0.4">
      <c r="A96" t="s">
        <v>163</v>
      </c>
      <c r="B96" t="s">
        <v>170</v>
      </c>
      <c r="C96" s="10">
        <v>45119</v>
      </c>
      <c r="D96" s="5" t="s">
        <v>12</v>
      </c>
      <c r="E96" t="s">
        <v>103</v>
      </c>
      <c r="F96" t="s">
        <v>197</v>
      </c>
      <c r="G96" t="s">
        <v>199</v>
      </c>
      <c r="H96">
        <v>80</v>
      </c>
      <c r="I96" t="s">
        <v>386</v>
      </c>
      <c r="J96" t="s">
        <v>387</v>
      </c>
      <c r="K96" t="s">
        <v>138</v>
      </c>
      <c r="L96" s="7">
        <v>274.74048442906576</v>
      </c>
      <c r="M96" s="6">
        <v>2.8899999999999999E-2</v>
      </c>
      <c r="N96" s="6">
        <v>0.79400000000000004</v>
      </c>
      <c r="O96">
        <v>17</v>
      </c>
      <c r="P96">
        <v>4.670588235294118E-2</v>
      </c>
      <c r="Q96" s="11">
        <v>1.6882352941176471</v>
      </c>
      <c r="R96" s="11">
        <v>1.6970588235294115</v>
      </c>
      <c r="S96">
        <v>83</v>
      </c>
      <c r="T96">
        <v>17</v>
      </c>
      <c r="U96">
        <v>100</v>
      </c>
      <c r="V96" s="11">
        <v>83</v>
      </c>
    </row>
    <row r="97" spans="1:22" x14ac:dyDescent="0.4">
      <c r="A97" t="s">
        <v>163</v>
      </c>
      <c r="B97" t="s">
        <v>170</v>
      </c>
      <c r="C97" s="10">
        <v>45119</v>
      </c>
      <c r="D97" s="5" t="s">
        <v>12</v>
      </c>
      <c r="E97" t="s">
        <v>104</v>
      </c>
      <c r="F97" t="s">
        <v>197</v>
      </c>
      <c r="G97" t="s">
        <v>199</v>
      </c>
      <c r="H97" t="s">
        <v>205</v>
      </c>
      <c r="I97" t="s">
        <v>388</v>
      </c>
      <c r="J97" t="s">
        <v>389</v>
      </c>
      <c r="K97" t="s">
        <v>138</v>
      </c>
      <c r="L97" s="7">
        <v>464.083885209713</v>
      </c>
      <c r="M97" s="6">
        <v>4.53E-2</v>
      </c>
      <c r="N97" s="6">
        <v>2.1023000000000001</v>
      </c>
      <c r="O97">
        <v>17</v>
      </c>
      <c r="P97">
        <v>0.12366470588235294</v>
      </c>
      <c r="Q97" s="11">
        <v>2.8264705882352934</v>
      </c>
      <c r="R97" s="11">
        <v>2.1294117647058819</v>
      </c>
      <c r="S97">
        <v>52</v>
      </c>
      <c r="T97">
        <v>48</v>
      </c>
      <c r="U97">
        <v>100</v>
      </c>
      <c r="V97" s="11">
        <v>52</v>
      </c>
    </row>
    <row r="98" spans="1:22" x14ac:dyDescent="0.4">
      <c r="A98" t="s">
        <v>171</v>
      </c>
      <c r="B98" t="s">
        <v>172</v>
      </c>
      <c r="C98" s="10">
        <v>45119</v>
      </c>
      <c r="D98" s="5" t="s">
        <v>12</v>
      </c>
      <c r="E98" t="s">
        <v>105</v>
      </c>
      <c r="F98" t="s">
        <v>197</v>
      </c>
      <c r="G98" t="s">
        <v>199</v>
      </c>
      <c r="H98">
        <v>25</v>
      </c>
      <c r="I98" t="s">
        <v>390</v>
      </c>
      <c r="J98" t="s">
        <v>391</v>
      </c>
      <c r="K98" t="s">
        <v>137</v>
      </c>
      <c r="L98" s="7">
        <v>57.063903281519863</v>
      </c>
      <c r="M98" s="6">
        <v>5.79E-2</v>
      </c>
      <c r="N98" s="6">
        <v>0.33040000000000003</v>
      </c>
      <c r="O98">
        <v>7</v>
      </c>
      <c r="P98">
        <v>4.7200000000000006E-2</v>
      </c>
      <c r="Q98" s="11">
        <v>2.3071428571428569</v>
      </c>
      <c r="R98" s="11">
        <v>1.9214285714285715</v>
      </c>
      <c r="S98">
        <v>72</v>
      </c>
      <c r="T98">
        <v>21</v>
      </c>
      <c r="U98">
        <v>93</v>
      </c>
      <c r="V98" s="11">
        <v>86.021505376344081</v>
      </c>
    </row>
    <row r="99" spans="1:22" x14ac:dyDescent="0.4">
      <c r="A99" t="s">
        <v>173</v>
      </c>
      <c r="B99" t="s">
        <v>174</v>
      </c>
      <c r="C99" s="10">
        <v>45120</v>
      </c>
      <c r="D99" s="5" t="s">
        <v>12</v>
      </c>
      <c r="E99" t="s">
        <v>106</v>
      </c>
      <c r="F99" t="s">
        <v>202</v>
      </c>
      <c r="G99" t="s">
        <v>199</v>
      </c>
      <c r="H99">
        <v>20</v>
      </c>
      <c r="I99" t="s">
        <v>392</v>
      </c>
      <c r="J99" t="s">
        <v>393</v>
      </c>
      <c r="K99" t="s">
        <v>138</v>
      </c>
      <c r="L99" s="7">
        <v>153.10126582278482</v>
      </c>
      <c r="M99" s="6">
        <v>4.7399999999999998E-2</v>
      </c>
      <c r="N99" s="6">
        <v>0.72570000000000001</v>
      </c>
      <c r="O99">
        <v>5</v>
      </c>
      <c r="P99">
        <v>0.14513999999999999</v>
      </c>
      <c r="Q99" s="11">
        <v>2.16</v>
      </c>
      <c r="R99" s="11">
        <v>1.9599999999999997</v>
      </c>
      <c r="S99">
        <v>94</v>
      </c>
      <c r="T99">
        <v>6</v>
      </c>
      <c r="U99">
        <v>100</v>
      </c>
      <c r="V99" s="11">
        <v>94</v>
      </c>
    </row>
    <row r="100" spans="1:22" x14ac:dyDescent="0.4">
      <c r="A100" t="s">
        <v>173</v>
      </c>
      <c r="B100" t="s">
        <v>175</v>
      </c>
      <c r="C100" s="10">
        <v>45120</v>
      </c>
      <c r="D100" s="5" t="s">
        <v>7</v>
      </c>
      <c r="E100" t="s">
        <v>107</v>
      </c>
      <c r="F100" t="s">
        <v>202</v>
      </c>
      <c r="G100" t="s">
        <v>199</v>
      </c>
      <c r="H100" t="s">
        <v>205</v>
      </c>
      <c r="I100" t="s">
        <v>394</v>
      </c>
      <c r="J100" t="s">
        <v>395</v>
      </c>
      <c r="K100" t="s">
        <v>138</v>
      </c>
      <c r="L100" s="7">
        <v>941.76706827309249</v>
      </c>
      <c r="M100" s="6">
        <v>2.4899999999999999E-2</v>
      </c>
      <c r="N100" s="6">
        <v>2.3450000000000002</v>
      </c>
      <c r="O100">
        <v>14</v>
      </c>
      <c r="P100">
        <v>0.16750000000000001</v>
      </c>
      <c r="Q100" s="11">
        <v>2.1535714285714285</v>
      </c>
      <c r="R100" s="11">
        <v>1.675</v>
      </c>
      <c r="S100">
        <v>93</v>
      </c>
      <c r="T100">
        <v>7</v>
      </c>
      <c r="U100">
        <v>100</v>
      </c>
      <c r="V100" s="11">
        <v>93</v>
      </c>
    </row>
    <row r="101" spans="1:22" x14ac:dyDescent="0.4">
      <c r="A101" t="s">
        <v>173</v>
      </c>
      <c r="B101" t="s">
        <v>174</v>
      </c>
      <c r="C101" s="10">
        <v>45120</v>
      </c>
      <c r="D101" s="5" t="s">
        <v>12</v>
      </c>
      <c r="E101" t="s">
        <v>108</v>
      </c>
      <c r="F101" t="s">
        <v>202</v>
      </c>
      <c r="G101" t="s">
        <v>199</v>
      </c>
      <c r="H101">
        <v>13</v>
      </c>
      <c r="I101" t="s">
        <v>396</v>
      </c>
      <c r="J101" t="s">
        <v>397</v>
      </c>
      <c r="K101" t="s">
        <v>138</v>
      </c>
      <c r="L101" s="7">
        <v>332.69230769230768</v>
      </c>
      <c r="M101" s="6">
        <v>2.86E-2</v>
      </c>
      <c r="N101" s="6">
        <v>0.95150000000000001</v>
      </c>
      <c r="O101">
        <v>7</v>
      </c>
      <c r="P101">
        <v>0.13592857142857143</v>
      </c>
      <c r="Q101" s="11">
        <v>2.0428571428571431</v>
      </c>
      <c r="R101" s="11">
        <v>1.75</v>
      </c>
      <c r="S101">
        <v>68</v>
      </c>
      <c r="T101">
        <v>32</v>
      </c>
      <c r="U101">
        <v>100</v>
      </c>
      <c r="V101" s="11">
        <v>68</v>
      </c>
    </row>
    <row r="102" spans="1:22" x14ac:dyDescent="0.4">
      <c r="A102" t="s">
        <v>173</v>
      </c>
      <c r="B102" t="s">
        <v>175</v>
      </c>
      <c r="C102" s="10">
        <v>45120</v>
      </c>
      <c r="D102" s="5" t="s">
        <v>7</v>
      </c>
      <c r="E102" t="s">
        <v>109</v>
      </c>
      <c r="F102" t="s">
        <v>202</v>
      </c>
      <c r="G102" t="s">
        <v>199</v>
      </c>
      <c r="H102" t="s">
        <v>210</v>
      </c>
      <c r="I102" t="s">
        <v>398</v>
      </c>
      <c r="J102" t="s">
        <v>395</v>
      </c>
      <c r="K102" t="s">
        <v>138</v>
      </c>
      <c r="L102" s="7">
        <v>388.99159663865538</v>
      </c>
      <c r="M102" s="6">
        <v>2.3800000000000002E-2</v>
      </c>
      <c r="N102" s="6">
        <v>0.92579999999999996</v>
      </c>
      <c r="O102">
        <v>8</v>
      </c>
      <c r="P102">
        <v>0.11572499999999999</v>
      </c>
      <c r="Q102" s="11">
        <v>1.7437499999999999</v>
      </c>
      <c r="R102" s="11">
        <v>1.5062499999999999</v>
      </c>
      <c r="S102">
        <v>88</v>
      </c>
      <c r="T102">
        <v>12</v>
      </c>
      <c r="U102">
        <v>100</v>
      </c>
      <c r="V102" s="11">
        <v>88</v>
      </c>
    </row>
    <row r="103" spans="1:22" x14ac:dyDescent="0.4">
      <c r="A103" t="s">
        <v>173</v>
      </c>
      <c r="B103" t="s">
        <v>174</v>
      </c>
      <c r="C103" s="10">
        <v>45120</v>
      </c>
      <c r="D103" s="5" t="s">
        <v>12</v>
      </c>
      <c r="E103" t="s">
        <v>110</v>
      </c>
      <c r="F103" t="s">
        <v>202</v>
      </c>
      <c r="G103" t="s">
        <v>199</v>
      </c>
      <c r="H103" t="s">
        <v>211</v>
      </c>
      <c r="I103" t="s">
        <v>399</v>
      </c>
      <c r="J103" t="s">
        <v>400</v>
      </c>
      <c r="K103" t="s">
        <v>138</v>
      </c>
      <c r="L103" s="7">
        <v>126.36882129277566</v>
      </c>
      <c r="M103" s="6">
        <v>5.2600000000000001E-2</v>
      </c>
      <c r="N103" s="6">
        <v>0.66469999999999996</v>
      </c>
      <c r="O103">
        <v>7</v>
      </c>
      <c r="P103">
        <v>9.4957142857142851E-2</v>
      </c>
      <c r="Q103" s="11">
        <v>2.1571428571428575</v>
      </c>
      <c r="R103" s="11">
        <v>1.9</v>
      </c>
      <c r="S103">
        <v>91</v>
      </c>
      <c r="T103">
        <v>8</v>
      </c>
      <c r="U103">
        <v>99</v>
      </c>
      <c r="V103" s="11">
        <v>91.919191919191917</v>
      </c>
    </row>
    <row r="104" spans="1:22" x14ac:dyDescent="0.4">
      <c r="A104" t="s">
        <v>173</v>
      </c>
      <c r="B104" t="s">
        <v>174</v>
      </c>
      <c r="C104" s="10">
        <v>45120</v>
      </c>
      <c r="D104" s="5" t="s">
        <v>12</v>
      </c>
      <c r="E104" t="s">
        <v>111</v>
      </c>
      <c r="F104" t="s">
        <v>197</v>
      </c>
      <c r="G104" t="s">
        <v>199</v>
      </c>
      <c r="H104">
        <v>10</v>
      </c>
      <c r="I104" t="s">
        <v>401</v>
      </c>
      <c r="J104" t="s">
        <v>402</v>
      </c>
      <c r="K104" t="s">
        <v>138</v>
      </c>
      <c r="L104" s="7">
        <v>45.93673965936739</v>
      </c>
      <c r="M104" s="6">
        <v>4.1099999999999998E-2</v>
      </c>
      <c r="N104" s="6">
        <v>0.1888</v>
      </c>
      <c r="O104">
        <v>2</v>
      </c>
      <c r="P104">
        <v>9.4399999999999998E-2</v>
      </c>
      <c r="Q104" s="11">
        <v>2.0249999999999999</v>
      </c>
      <c r="R104" s="11">
        <v>1.7749999999999999</v>
      </c>
      <c r="S104">
        <v>36</v>
      </c>
      <c r="T104">
        <v>26</v>
      </c>
      <c r="U104">
        <v>62</v>
      </c>
      <c r="V104" s="11">
        <v>58.064516129032263</v>
      </c>
    </row>
    <row r="105" spans="1:22" x14ac:dyDescent="0.4">
      <c r="A105" t="s">
        <v>173</v>
      </c>
      <c r="B105" t="s">
        <v>174</v>
      </c>
      <c r="C105" s="10">
        <v>45120</v>
      </c>
      <c r="D105" s="5" t="s">
        <v>12</v>
      </c>
      <c r="E105" t="s">
        <v>112</v>
      </c>
      <c r="F105" t="s">
        <v>202</v>
      </c>
      <c r="G105" t="s">
        <v>199</v>
      </c>
      <c r="H105">
        <v>100</v>
      </c>
      <c r="I105" t="s">
        <v>403</v>
      </c>
      <c r="J105" t="s">
        <v>404</v>
      </c>
      <c r="K105" t="s">
        <v>138</v>
      </c>
      <c r="L105" s="7">
        <v>160.29733959311426</v>
      </c>
      <c r="M105" s="6">
        <v>6.3899999999999998E-2</v>
      </c>
      <c r="N105" s="6">
        <v>1.0243</v>
      </c>
      <c r="O105">
        <v>6</v>
      </c>
      <c r="P105">
        <v>0.17071666666666666</v>
      </c>
      <c r="Q105" s="11">
        <v>2.25</v>
      </c>
      <c r="R105" s="11">
        <v>1.8999999999999997</v>
      </c>
      <c r="S105">
        <v>97</v>
      </c>
      <c r="T105">
        <v>3</v>
      </c>
      <c r="U105">
        <v>100</v>
      </c>
      <c r="V105" s="11">
        <v>97</v>
      </c>
    </row>
    <row r="106" spans="1:22" x14ac:dyDescent="0.4">
      <c r="A106" t="s">
        <v>173</v>
      </c>
      <c r="B106" t="s">
        <v>174</v>
      </c>
      <c r="C106" s="10">
        <v>45120</v>
      </c>
      <c r="D106" s="5" t="s">
        <v>12</v>
      </c>
      <c r="E106" t="s">
        <v>113</v>
      </c>
      <c r="F106" t="s">
        <v>202</v>
      </c>
      <c r="G106" t="s">
        <v>200</v>
      </c>
      <c r="H106">
        <v>120</v>
      </c>
      <c r="I106" t="s">
        <v>405</v>
      </c>
      <c r="J106" t="s">
        <v>406</v>
      </c>
      <c r="K106" t="s">
        <v>138</v>
      </c>
      <c r="L106" s="7">
        <v>163.69727047146398</v>
      </c>
      <c r="M106" s="6">
        <v>4.0300000000000002E-2</v>
      </c>
      <c r="N106" s="6">
        <v>0.65969999999999995</v>
      </c>
      <c r="O106">
        <v>6</v>
      </c>
      <c r="P106">
        <v>0.10994999999999999</v>
      </c>
      <c r="Q106" s="11">
        <v>2.65</v>
      </c>
      <c r="R106" s="11">
        <v>2.0166666666666666</v>
      </c>
      <c r="S106">
        <v>28</v>
      </c>
      <c r="T106">
        <v>72</v>
      </c>
      <c r="U106">
        <v>100</v>
      </c>
      <c r="V106" s="11">
        <v>28.000000000000004</v>
      </c>
    </row>
    <row r="107" spans="1:22" x14ac:dyDescent="0.4">
      <c r="A107" t="s">
        <v>176</v>
      </c>
      <c r="B107" t="s">
        <v>177</v>
      </c>
      <c r="C107" s="10">
        <v>45125</v>
      </c>
      <c r="D107" s="5" t="s">
        <v>12</v>
      </c>
      <c r="E107" t="s">
        <v>114</v>
      </c>
      <c r="F107" t="s">
        <v>197</v>
      </c>
      <c r="G107" t="s">
        <v>199</v>
      </c>
      <c r="H107" t="s">
        <v>217</v>
      </c>
      <c r="I107" t="s">
        <v>407</v>
      </c>
      <c r="J107" t="s">
        <v>408</v>
      </c>
      <c r="K107" t="s">
        <v>138</v>
      </c>
      <c r="L107" s="7">
        <v>671.08108108108104</v>
      </c>
      <c r="M107" s="6">
        <v>2.9600000000000001E-2</v>
      </c>
      <c r="N107" s="6">
        <v>1.9863999999999999</v>
      </c>
      <c r="O107">
        <v>35</v>
      </c>
      <c r="P107">
        <v>5.6754285714285715E-2</v>
      </c>
      <c r="Q107" s="11">
        <v>1.5971428571428574</v>
      </c>
      <c r="R107" s="11">
        <v>1.4871428571428573</v>
      </c>
      <c r="S107">
        <v>81</v>
      </c>
      <c r="T107">
        <v>20</v>
      </c>
      <c r="U107">
        <v>101</v>
      </c>
      <c r="V107" s="11">
        <v>80.198019801980209</v>
      </c>
    </row>
    <row r="108" spans="1:22" x14ac:dyDescent="0.4">
      <c r="A108" t="s">
        <v>176</v>
      </c>
      <c r="B108" t="s">
        <v>177</v>
      </c>
      <c r="C108" s="10">
        <v>45125</v>
      </c>
      <c r="D108" s="5" t="s">
        <v>12</v>
      </c>
      <c r="E108" t="s">
        <v>115</v>
      </c>
      <c r="F108" t="s">
        <v>197</v>
      </c>
      <c r="G108" t="s">
        <v>199</v>
      </c>
      <c r="H108">
        <v>15</v>
      </c>
      <c r="I108" t="s">
        <v>409</v>
      </c>
      <c r="J108" t="s">
        <v>410</v>
      </c>
      <c r="K108" t="s">
        <v>137</v>
      </c>
      <c r="L108" s="7">
        <v>232.6229508196721</v>
      </c>
      <c r="M108" s="6">
        <v>4.8800000000000003E-2</v>
      </c>
      <c r="N108" s="6">
        <v>1.1352</v>
      </c>
      <c r="O108">
        <v>8</v>
      </c>
      <c r="P108">
        <v>0.1419</v>
      </c>
      <c r="Q108" s="11">
        <v>2.2937500000000002</v>
      </c>
      <c r="R108" s="11">
        <v>1.9812499999999997</v>
      </c>
      <c r="S108">
        <v>92</v>
      </c>
      <c r="T108">
        <v>8</v>
      </c>
      <c r="U108">
        <v>100</v>
      </c>
      <c r="V108" s="11">
        <v>92</v>
      </c>
    </row>
    <row r="109" spans="1:22" x14ac:dyDescent="0.4">
      <c r="A109" t="s">
        <v>178</v>
      </c>
      <c r="B109" t="s">
        <v>177</v>
      </c>
      <c r="C109" s="10">
        <v>45125</v>
      </c>
      <c r="D109" s="5" t="s">
        <v>12</v>
      </c>
      <c r="E109" t="s">
        <v>116</v>
      </c>
      <c r="F109" t="s">
        <v>197</v>
      </c>
      <c r="G109" t="s">
        <v>199</v>
      </c>
      <c r="H109" t="s">
        <v>210</v>
      </c>
      <c r="I109" t="s">
        <v>411</v>
      </c>
      <c r="J109" t="s">
        <v>412</v>
      </c>
      <c r="K109" t="s">
        <v>138</v>
      </c>
      <c r="L109" s="7">
        <v>131.40651801029159</v>
      </c>
      <c r="M109" s="6">
        <v>5.8299999999999998E-2</v>
      </c>
      <c r="N109" s="6">
        <v>0.7661</v>
      </c>
      <c r="O109">
        <v>4</v>
      </c>
      <c r="P109">
        <v>0.191525</v>
      </c>
      <c r="Q109" s="11">
        <v>2.3374999999999999</v>
      </c>
      <c r="R109" s="11">
        <v>2.1500000000000004</v>
      </c>
      <c r="S109">
        <v>86</v>
      </c>
      <c r="T109">
        <v>14</v>
      </c>
      <c r="U109">
        <v>100</v>
      </c>
      <c r="V109" s="11">
        <v>86</v>
      </c>
    </row>
    <row r="110" spans="1:22" x14ac:dyDescent="0.4">
      <c r="A110" t="s">
        <v>176</v>
      </c>
      <c r="B110" t="s">
        <v>177</v>
      </c>
      <c r="C110" s="10">
        <v>45125</v>
      </c>
      <c r="D110" s="5" t="s">
        <v>12</v>
      </c>
      <c r="E110" t="s">
        <v>117</v>
      </c>
      <c r="F110" t="s">
        <v>197</v>
      </c>
      <c r="G110" t="s">
        <v>200</v>
      </c>
      <c r="H110" t="s">
        <v>209</v>
      </c>
      <c r="I110" t="s">
        <v>413</v>
      </c>
      <c r="J110" t="s">
        <v>414</v>
      </c>
      <c r="K110" t="s">
        <v>138</v>
      </c>
      <c r="L110" s="7">
        <v>169.31506849315068</v>
      </c>
      <c r="M110" s="6">
        <v>5.8400000000000001E-2</v>
      </c>
      <c r="N110" s="6">
        <v>0.98880000000000001</v>
      </c>
      <c r="O110">
        <v>5</v>
      </c>
      <c r="P110">
        <v>0.19775999999999999</v>
      </c>
      <c r="Q110" s="11">
        <v>2.44</v>
      </c>
      <c r="R110" s="11">
        <v>2.12</v>
      </c>
      <c r="S110">
        <v>89</v>
      </c>
      <c r="T110">
        <v>11</v>
      </c>
      <c r="U110">
        <v>100</v>
      </c>
      <c r="V110" s="11">
        <v>89</v>
      </c>
    </row>
    <row r="111" spans="1:22" x14ac:dyDescent="0.4">
      <c r="A111" t="s">
        <v>176</v>
      </c>
      <c r="B111" t="s">
        <v>177</v>
      </c>
      <c r="C111" s="10">
        <v>45125</v>
      </c>
      <c r="D111" s="5" t="s">
        <v>12</v>
      </c>
      <c r="E111" t="s">
        <v>118</v>
      </c>
      <c r="F111" t="s">
        <v>197</v>
      </c>
      <c r="G111" t="s">
        <v>200</v>
      </c>
      <c r="H111" t="s">
        <v>206</v>
      </c>
      <c r="I111" t="s">
        <v>415</v>
      </c>
      <c r="J111" t="s">
        <v>416</v>
      </c>
      <c r="K111" t="s">
        <v>138</v>
      </c>
      <c r="L111" s="7">
        <v>198.29025844930416</v>
      </c>
      <c r="M111" s="6">
        <v>5.0299999999999997E-2</v>
      </c>
      <c r="N111" s="6">
        <v>0.99739999999999995</v>
      </c>
      <c r="O111">
        <v>7</v>
      </c>
      <c r="P111">
        <v>0.14248571428571427</v>
      </c>
      <c r="Q111" s="11">
        <v>1.9214285714285713</v>
      </c>
      <c r="R111" s="11">
        <v>1.9142857142857144</v>
      </c>
      <c r="S111">
        <v>91</v>
      </c>
      <c r="T111">
        <v>9</v>
      </c>
      <c r="U111">
        <v>100</v>
      </c>
      <c r="V111" s="11">
        <v>91</v>
      </c>
    </row>
    <row r="112" spans="1:22" x14ac:dyDescent="0.4">
      <c r="A112" t="s">
        <v>179</v>
      </c>
      <c r="B112" t="s">
        <v>180</v>
      </c>
      <c r="C112" s="10">
        <v>45126</v>
      </c>
      <c r="D112" s="5" t="s">
        <v>12</v>
      </c>
      <c r="E112" t="s">
        <v>119</v>
      </c>
      <c r="F112" t="s">
        <v>197</v>
      </c>
      <c r="G112" t="s">
        <v>199</v>
      </c>
      <c r="H112" t="s">
        <v>205</v>
      </c>
      <c r="I112" t="s">
        <v>417</v>
      </c>
      <c r="J112" t="s">
        <v>418</v>
      </c>
      <c r="K112" t="s">
        <v>144</v>
      </c>
      <c r="L112" s="7">
        <v>126.68817204301075</v>
      </c>
      <c r="M112" s="6">
        <v>4.65E-2</v>
      </c>
      <c r="N112" s="6">
        <v>0.58909999999999996</v>
      </c>
      <c r="O112">
        <v>3</v>
      </c>
      <c r="P112">
        <v>0.19636666666666666</v>
      </c>
      <c r="Q112" s="11">
        <v>2.3666666666666667</v>
      </c>
      <c r="R112" s="11">
        <v>1.8833333333333335</v>
      </c>
      <c r="S112">
        <v>94</v>
      </c>
      <c r="T112">
        <v>6</v>
      </c>
      <c r="U112">
        <v>100</v>
      </c>
      <c r="V112" s="11">
        <v>94</v>
      </c>
    </row>
    <row r="113" spans="1:22" x14ac:dyDescent="0.4">
      <c r="A113" t="s">
        <v>179</v>
      </c>
      <c r="B113" t="s">
        <v>181</v>
      </c>
      <c r="C113" s="10">
        <v>45126</v>
      </c>
      <c r="D113" s="5" t="s">
        <v>12</v>
      </c>
      <c r="E113" t="s">
        <v>120</v>
      </c>
      <c r="F113" t="s">
        <v>197</v>
      </c>
      <c r="G113" t="s">
        <v>199</v>
      </c>
      <c r="H113">
        <v>120</v>
      </c>
      <c r="I113" t="s">
        <v>419</v>
      </c>
      <c r="J113" t="s">
        <v>420</v>
      </c>
      <c r="K113" t="s">
        <v>138</v>
      </c>
      <c r="L113" s="7">
        <v>105.76837416481068</v>
      </c>
      <c r="M113" s="6">
        <v>4.4900000000000002E-2</v>
      </c>
      <c r="N113" s="6">
        <v>0.47489999999999999</v>
      </c>
      <c r="O113">
        <v>4</v>
      </c>
      <c r="P113">
        <v>0.118725</v>
      </c>
      <c r="Q113" s="11">
        <v>2.3374999999999999</v>
      </c>
      <c r="R113" s="11">
        <v>2.2125000000000004</v>
      </c>
      <c r="S113">
        <v>77</v>
      </c>
      <c r="T113">
        <v>23</v>
      </c>
      <c r="U113">
        <v>100</v>
      </c>
      <c r="V113" s="11">
        <v>77</v>
      </c>
    </row>
    <row r="114" spans="1:22" x14ac:dyDescent="0.4">
      <c r="A114" t="s">
        <v>179</v>
      </c>
      <c r="B114" t="s">
        <v>181</v>
      </c>
      <c r="C114" s="10">
        <v>45126</v>
      </c>
      <c r="D114" s="5" t="s">
        <v>12</v>
      </c>
      <c r="E114" t="s">
        <v>121</v>
      </c>
      <c r="F114" t="s">
        <v>197</v>
      </c>
      <c r="G114" t="s">
        <v>199</v>
      </c>
      <c r="H114" t="s">
        <v>205</v>
      </c>
      <c r="I114" t="s">
        <v>421</v>
      </c>
      <c r="J114" t="s">
        <v>422</v>
      </c>
      <c r="K114" t="s">
        <v>138</v>
      </c>
      <c r="L114" s="7">
        <v>159.66315789473683</v>
      </c>
      <c r="M114" s="6">
        <v>4.7500000000000001E-2</v>
      </c>
      <c r="N114" s="6">
        <v>0.75839999999999996</v>
      </c>
      <c r="O114">
        <v>7</v>
      </c>
      <c r="P114">
        <v>0.10834285714285714</v>
      </c>
      <c r="Q114" s="11">
        <v>2.4714285714285711</v>
      </c>
      <c r="R114" s="11">
        <v>2.0357142857142856</v>
      </c>
      <c r="S114">
        <v>93</v>
      </c>
      <c r="T114">
        <v>7</v>
      </c>
      <c r="U114">
        <v>100</v>
      </c>
      <c r="V114" s="11">
        <v>93</v>
      </c>
    </row>
    <row r="115" spans="1:22" x14ac:dyDescent="0.4">
      <c r="A115" t="s">
        <v>179</v>
      </c>
      <c r="B115" t="s">
        <v>181</v>
      </c>
      <c r="C115" s="10">
        <v>45126</v>
      </c>
      <c r="D115" s="5" t="s">
        <v>12</v>
      </c>
      <c r="E115" t="s">
        <v>122</v>
      </c>
      <c r="F115" t="s">
        <v>202</v>
      </c>
      <c r="G115" t="s">
        <v>199</v>
      </c>
      <c r="H115">
        <v>135</v>
      </c>
      <c r="I115" t="s">
        <v>423</v>
      </c>
      <c r="J115" t="s">
        <v>424</v>
      </c>
      <c r="K115" t="s">
        <v>138</v>
      </c>
      <c r="L115" s="7">
        <v>297.35714285714278</v>
      </c>
      <c r="M115" s="6">
        <v>4.2000000000000003E-2</v>
      </c>
      <c r="N115" s="6">
        <v>1.2488999999999999</v>
      </c>
      <c r="O115">
        <v>10</v>
      </c>
      <c r="P115">
        <v>0.12488999999999999</v>
      </c>
      <c r="Q115" s="11">
        <v>2.6139999999999999</v>
      </c>
      <c r="R115" s="11">
        <v>2.15</v>
      </c>
      <c r="S115">
        <v>40</v>
      </c>
      <c r="T115">
        <v>60</v>
      </c>
      <c r="U115">
        <v>100</v>
      </c>
      <c r="V115" s="11">
        <v>40</v>
      </c>
    </row>
    <row r="116" spans="1:22" x14ac:dyDescent="0.4">
      <c r="A116" t="s">
        <v>179</v>
      </c>
      <c r="B116" t="s">
        <v>181</v>
      </c>
      <c r="C116" s="10">
        <v>45127</v>
      </c>
      <c r="D116" s="5" t="s">
        <v>12</v>
      </c>
      <c r="E116" t="s">
        <v>123</v>
      </c>
      <c r="F116" t="s">
        <v>197</v>
      </c>
      <c r="G116" t="s">
        <v>200</v>
      </c>
      <c r="H116" t="s">
        <v>209</v>
      </c>
      <c r="I116" t="s">
        <v>425</v>
      </c>
      <c r="J116" t="s">
        <v>426</v>
      </c>
      <c r="K116" t="s">
        <v>138</v>
      </c>
      <c r="L116" s="7">
        <v>718.53801169590633</v>
      </c>
      <c r="M116" s="6">
        <v>3.4200000000000001E-2</v>
      </c>
      <c r="N116" s="6">
        <v>2.4573999999999998</v>
      </c>
      <c r="O116">
        <v>14</v>
      </c>
      <c r="P116">
        <v>0.17552857142857142</v>
      </c>
      <c r="Q116" s="11">
        <v>2.5285714285714285</v>
      </c>
      <c r="R116" s="11">
        <v>2.1464285714285714</v>
      </c>
      <c r="S116">
        <v>77</v>
      </c>
      <c r="T116">
        <v>23</v>
      </c>
      <c r="U116">
        <v>100</v>
      </c>
      <c r="V116" s="11">
        <v>77</v>
      </c>
    </row>
    <row r="117" spans="1:22" x14ac:dyDescent="0.4">
      <c r="A117" t="s">
        <v>182</v>
      </c>
      <c r="B117" t="s">
        <v>183</v>
      </c>
      <c r="C117" s="10">
        <v>45127</v>
      </c>
      <c r="D117" s="5" t="s">
        <v>12</v>
      </c>
      <c r="E117" t="s">
        <v>124</v>
      </c>
      <c r="F117" t="s">
        <v>197</v>
      </c>
      <c r="G117" t="s">
        <v>199</v>
      </c>
      <c r="H117">
        <v>150</v>
      </c>
      <c r="I117" t="s">
        <v>427</v>
      </c>
      <c r="J117" t="s">
        <v>428</v>
      </c>
      <c r="K117" t="s">
        <v>138</v>
      </c>
      <c r="L117" s="7">
        <v>182.16101694915255</v>
      </c>
      <c r="M117" s="6">
        <v>2.3599999999999999E-2</v>
      </c>
      <c r="N117" s="6">
        <v>0.4299</v>
      </c>
      <c r="O117">
        <v>6</v>
      </c>
      <c r="P117">
        <v>7.1650000000000005E-2</v>
      </c>
      <c r="Q117" s="11">
        <v>2.3583333333333329</v>
      </c>
      <c r="R117" s="11">
        <v>1.9749999999999999</v>
      </c>
      <c r="S117">
        <v>30</v>
      </c>
      <c r="T117">
        <v>67</v>
      </c>
      <c r="U117">
        <v>100</v>
      </c>
      <c r="V117" s="11">
        <v>33</v>
      </c>
    </row>
    <row r="118" spans="1:22" x14ac:dyDescent="0.4">
      <c r="A118" t="s">
        <v>182</v>
      </c>
      <c r="B118" t="s">
        <v>183</v>
      </c>
      <c r="C118" s="10">
        <v>45127</v>
      </c>
      <c r="D118" s="5" t="s">
        <v>12</v>
      </c>
      <c r="E118" t="s">
        <v>125</v>
      </c>
      <c r="F118" t="s">
        <v>197</v>
      </c>
      <c r="G118" t="s">
        <v>199</v>
      </c>
      <c r="H118">
        <v>40</v>
      </c>
      <c r="I118" t="s">
        <v>429</v>
      </c>
      <c r="J118" t="s">
        <v>430</v>
      </c>
      <c r="K118" t="s">
        <v>138</v>
      </c>
      <c r="L118" s="7">
        <v>166.85667752442995</v>
      </c>
      <c r="M118" s="6">
        <v>6.1400000000000003E-2</v>
      </c>
      <c r="N118" s="6">
        <v>1.0245</v>
      </c>
      <c r="O118">
        <v>6</v>
      </c>
      <c r="P118">
        <v>0.17074999999999999</v>
      </c>
      <c r="Q118" s="11">
        <v>2.6249999999999996</v>
      </c>
      <c r="R118" s="11">
        <v>2.2416666666666667</v>
      </c>
      <c r="S118">
        <v>89</v>
      </c>
      <c r="T118">
        <v>11</v>
      </c>
      <c r="U118">
        <v>100</v>
      </c>
      <c r="V118" s="11">
        <v>89</v>
      </c>
    </row>
  </sheetData>
  <autoFilter ref="D1:D118" xr:uid="{A747090E-F093-3F4B-9D73-5C1DDE79924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F5B8B-651E-6349-B658-9AE109D90CC1}">
  <dimension ref="A1:C2042"/>
  <sheetViews>
    <sheetView workbookViewId="0">
      <selection sqref="A1:C1048576"/>
    </sheetView>
  </sheetViews>
  <sheetFormatPr defaultColWidth="10.6640625" defaultRowHeight="16" x14ac:dyDescent="0.4"/>
  <sheetData>
    <row r="1" spans="1:3" x14ac:dyDescent="0.4">
      <c r="A1" s="8" t="s">
        <v>3</v>
      </c>
      <c r="B1" s="1" t="s">
        <v>130</v>
      </c>
      <c r="C1" s="1" t="s">
        <v>131</v>
      </c>
    </row>
    <row r="2" spans="1:3" x14ac:dyDescent="0.4">
      <c r="A2" t="s">
        <v>38</v>
      </c>
      <c r="B2">
        <v>2.1</v>
      </c>
      <c r="C2">
        <v>1.8</v>
      </c>
    </row>
    <row r="3" spans="1:3" x14ac:dyDescent="0.4">
      <c r="B3">
        <v>2.2999999999999998</v>
      </c>
      <c r="C3">
        <v>1.9</v>
      </c>
    </row>
    <row r="4" spans="1:3" x14ac:dyDescent="0.4">
      <c r="B4">
        <v>1.8</v>
      </c>
      <c r="C4">
        <v>2.5</v>
      </c>
    </row>
    <row r="5" spans="1:3" x14ac:dyDescent="0.4">
      <c r="B5">
        <v>2.7</v>
      </c>
      <c r="C5">
        <v>2</v>
      </c>
    </row>
    <row r="6" spans="1:3" x14ac:dyDescent="0.4">
      <c r="A6" s="8" t="s">
        <v>187</v>
      </c>
      <c r="B6">
        <f>AVERAGE(B2:B5)</f>
        <v>2.2250000000000001</v>
      </c>
      <c r="C6">
        <f>AVERAGE(C2:C5)</f>
        <v>2.0499999999999998</v>
      </c>
    </row>
    <row r="8" spans="1:3" x14ac:dyDescent="0.4">
      <c r="A8" t="s">
        <v>31</v>
      </c>
      <c r="B8">
        <v>2.2999999999999998</v>
      </c>
      <c r="C8">
        <v>1.8</v>
      </c>
    </row>
    <row r="9" spans="1:3" x14ac:dyDescent="0.4">
      <c r="B9">
        <v>2.1</v>
      </c>
      <c r="C9">
        <v>1.75</v>
      </c>
    </row>
    <row r="10" spans="1:3" x14ac:dyDescent="0.4">
      <c r="B10">
        <v>2.4</v>
      </c>
      <c r="C10">
        <v>1.4</v>
      </c>
    </row>
    <row r="11" spans="1:3" x14ac:dyDescent="0.4">
      <c r="B11">
        <v>1.9</v>
      </c>
      <c r="C11">
        <v>1.7</v>
      </c>
    </row>
    <row r="12" spans="1:3" x14ac:dyDescent="0.4">
      <c r="B12">
        <v>1.9</v>
      </c>
      <c r="C12">
        <v>1.6</v>
      </c>
    </row>
    <row r="13" spans="1:3" x14ac:dyDescent="0.4">
      <c r="B13">
        <v>1.55</v>
      </c>
      <c r="C13">
        <v>1.7</v>
      </c>
    </row>
    <row r="14" spans="1:3" x14ac:dyDescent="0.4">
      <c r="B14">
        <v>2.2000000000000002</v>
      </c>
      <c r="C14">
        <v>1.7</v>
      </c>
    </row>
    <row r="15" spans="1:3" x14ac:dyDescent="0.4">
      <c r="B15">
        <v>1.95</v>
      </c>
      <c r="C15">
        <v>1.75</v>
      </c>
    </row>
    <row r="16" spans="1:3" x14ac:dyDescent="0.4">
      <c r="B16">
        <v>1.8</v>
      </c>
      <c r="C16">
        <v>1.75</v>
      </c>
    </row>
    <row r="17" spans="1:3" x14ac:dyDescent="0.4">
      <c r="B17">
        <v>2.5</v>
      </c>
      <c r="C17">
        <v>1.75</v>
      </c>
    </row>
    <row r="18" spans="1:3" x14ac:dyDescent="0.4">
      <c r="B18">
        <v>2.2000000000000002</v>
      </c>
      <c r="C18">
        <v>1.8</v>
      </c>
    </row>
    <row r="19" spans="1:3" x14ac:dyDescent="0.4">
      <c r="A19" t="s">
        <v>187</v>
      </c>
      <c r="B19">
        <f>AVERAGE(B8:B18)</f>
        <v>2.0727272727272728</v>
      </c>
      <c r="C19">
        <f>AVERAGE(C8:C18)</f>
        <v>1.7</v>
      </c>
    </row>
    <row r="21" spans="1:3" x14ac:dyDescent="0.4">
      <c r="A21" t="s">
        <v>37</v>
      </c>
      <c r="B21">
        <v>2.1</v>
      </c>
      <c r="C21">
        <v>1.95</v>
      </c>
    </row>
    <row r="22" spans="1:3" x14ac:dyDescent="0.4">
      <c r="B22">
        <v>2.1</v>
      </c>
      <c r="C22">
        <v>1.8</v>
      </c>
    </row>
    <row r="23" spans="1:3" x14ac:dyDescent="0.4">
      <c r="B23">
        <v>1.95</v>
      </c>
      <c r="C23">
        <v>1.7</v>
      </c>
    </row>
    <row r="24" spans="1:3" x14ac:dyDescent="0.4">
      <c r="B24">
        <v>2.2000000000000002</v>
      </c>
      <c r="C24">
        <v>2.0499999999999998</v>
      </c>
    </row>
    <row r="25" spans="1:3" x14ac:dyDescent="0.4">
      <c r="B25">
        <v>1.8</v>
      </c>
      <c r="C25">
        <v>1.7</v>
      </c>
    </row>
    <row r="26" spans="1:3" x14ac:dyDescent="0.4">
      <c r="B26">
        <v>1.95</v>
      </c>
      <c r="C26">
        <v>2.15</v>
      </c>
    </row>
    <row r="27" spans="1:3" x14ac:dyDescent="0.4">
      <c r="B27">
        <v>2.2000000000000002</v>
      </c>
      <c r="C27">
        <v>1.9</v>
      </c>
    </row>
    <row r="28" spans="1:3" x14ac:dyDescent="0.4">
      <c r="B28">
        <v>1.7</v>
      </c>
      <c r="C28">
        <v>1.9</v>
      </c>
    </row>
    <row r="29" spans="1:3" x14ac:dyDescent="0.4">
      <c r="B29">
        <v>1.7</v>
      </c>
      <c r="C29">
        <v>1.7</v>
      </c>
    </row>
    <row r="30" spans="1:3" x14ac:dyDescent="0.4">
      <c r="B30">
        <v>1.8</v>
      </c>
      <c r="C30">
        <v>1.9</v>
      </c>
    </row>
    <row r="31" spans="1:3" x14ac:dyDescent="0.4">
      <c r="B31">
        <v>2</v>
      </c>
      <c r="C31">
        <v>2.2000000000000002</v>
      </c>
    </row>
    <row r="32" spans="1:3" x14ac:dyDescent="0.4">
      <c r="B32">
        <v>2.1</v>
      </c>
      <c r="C32">
        <v>2</v>
      </c>
    </row>
    <row r="33" spans="1:3" x14ac:dyDescent="0.4">
      <c r="B33">
        <v>1.6</v>
      </c>
      <c r="C33">
        <v>1.8</v>
      </c>
    </row>
    <row r="34" spans="1:3" x14ac:dyDescent="0.4">
      <c r="A34" t="s">
        <v>187</v>
      </c>
      <c r="B34">
        <f>AVERAGE(B21:B33)</f>
        <v>1.9384615384615387</v>
      </c>
      <c r="C34">
        <f>AVERAGE(C21:C33)</f>
        <v>1.9038461538461537</v>
      </c>
    </row>
    <row r="36" spans="1:3" x14ac:dyDescent="0.4">
      <c r="A36" t="s">
        <v>188</v>
      </c>
      <c r="B36">
        <v>2.5</v>
      </c>
      <c r="C36">
        <v>1.5</v>
      </c>
    </row>
    <row r="37" spans="1:3" x14ac:dyDescent="0.4">
      <c r="B37">
        <v>2.9</v>
      </c>
      <c r="C37">
        <v>1.5</v>
      </c>
    </row>
    <row r="38" spans="1:3" x14ac:dyDescent="0.4">
      <c r="B38">
        <v>2.95</v>
      </c>
      <c r="C38">
        <v>1.6</v>
      </c>
    </row>
    <row r="39" spans="1:3" x14ac:dyDescent="0.4">
      <c r="B39">
        <f>AVERAGE(B36:B38)</f>
        <v>2.7833333333333337</v>
      </c>
      <c r="C39">
        <f>AVERAGE(C36:C38)</f>
        <v>1.5333333333333332</v>
      </c>
    </row>
    <row r="41" spans="1:3" x14ac:dyDescent="0.4">
      <c r="A41" t="s">
        <v>189</v>
      </c>
      <c r="B41">
        <v>2</v>
      </c>
      <c r="C41">
        <v>1.65</v>
      </c>
    </row>
    <row r="42" spans="1:3" x14ac:dyDescent="0.4">
      <c r="B42">
        <v>2.15</v>
      </c>
      <c r="C42">
        <v>1.65</v>
      </c>
    </row>
    <row r="43" spans="1:3" x14ac:dyDescent="0.4">
      <c r="B43">
        <v>1.95</v>
      </c>
      <c r="C43">
        <v>1.6</v>
      </c>
    </row>
    <row r="44" spans="1:3" x14ac:dyDescent="0.4">
      <c r="B44">
        <f>AVERAGE(B41:B43)</f>
        <v>2.0333333333333337</v>
      </c>
      <c r="C44">
        <f>AVERAGE(C41:C43)</f>
        <v>1.6333333333333335</v>
      </c>
    </row>
    <row r="46" spans="1:3" x14ac:dyDescent="0.4">
      <c r="A46" t="s">
        <v>9</v>
      </c>
      <c r="B46">
        <v>1.8</v>
      </c>
      <c r="C46">
        <v>1.85</v>
      </c>
    </row>
    <row r="47" spans="1:3" x14ac:dyDescent="0.4">
      <c r="B47">
        <v>2</v>
      </c>
      <c r="C47">
        <v>1.55</v>
      </c>
    </row>
    <row r="48" spans="1:3" x14ac:dyDescent="0.4">
      <c r="B48">
        <v>2.2999999999999998</v>
      </c>
      <c r="C48">
        <v>1.75</v>
      </c>
    </row>
    <row r="49" spans="1:3" x14ac:dyDescent="0.4">
      <c r="B49">
        <v>1.6</v>
      </c>
      <c r="C49">
        <v>1.5</v>
      </c>
    </row>
    <row r="50" spans="1:3" x14ac:dyDescent="0.4">
      <c r="B50">
        <f>AVERAGE(B46:B49)</f>
        <v>1.9249999999999998</v>
      </c>
      <c r="C50">
        <f>AVERAGE(C46:C49)</f>
        <v>1.6625000000000001</v>
      </c>
    </row>
    <row r="52" spans="1:3" x14ac:dyDescent="0.4">
      <c r="A52" t="s">
        <v>11</v>
      </c>
      <c r="B52">
        <v>2.2999999999999998</v>
      </c>
      <c r="C52">
        <v>1.55</v>
      </c>
    </row>
    <row r="53" spans="1:3" x14ac:dyDescent="0.4">
      <c r="B53">
        <v>2.2000000000000002</v>
      </c>
      <c r="C53">
        <v>1.55</v>
      </c>
    </row>
    <row r="54" spans="1:3" x14ac:dyDescent="0.4">
      <c r="B54">
        <v>2.2000000000000002</v>
      </c>
      <c r="C54">
        <v>1.55</v>
      </c>
    </row>
    <row r="55" spans="1:3" x14ac:dyDescent="0.4">
      <c r="B55">
        <v>2.2000000000000002</v>
      </c>
      <c r="C55">
        <v>1.5</v>
      </c>
    </row>
    <row r="56" spans="1:3" x14ac:dyDescent="0.4">
      <c r="B56">
        <v>2.15</v>
      </c>
      <c r="C56">
        <v>1.5</v>
      </c>
    </row>
    <row r="57" spans="1:3" x14ac:dyDescent="0.4">
      <c r="B57">
        <v>2.15</v>
      </c>
      <c r="C57">
        <v>1.6</v>
      </c>
    </row>
    <row r="58" spans="1:3" x14ac:dyDescent="0.4">
      <c r="B58">
        <f>AVERAGE(B52:B57)</f>
        <v>2.2000000000000002</v>
      </c>
      <c r="C58">
        <f>AVERAGE(C52:C57)</f>
        <v>1.5416666666666667</v>
      </c>
    </row>
    <row r="60" spans="1:3" x14ac:dyDescent="0.4">
      <c r="A60" t="s">
        <v>10</v>
      </c>
      <c r="B60">
        <v>2.1</v>
      </c>
      <c r="C60">
        <v>1.9</v>
      </c>
    </row>
    <row r="61" spans="1:3" x14ac:dyDescent="0.4">
      <c r="B61">
        <v>2</v>
      </c>
      <c r="C61">
        <v>1.8</v>
      </c>
    </row>
    <row r="62" spans="1:3" x14ac:dyDescent="0.4">
      <c r="B62">
        <v>2.0499999999999998</v>
      </c>
      <c r="C62">
        <v>1.45</v>
      </c>
    </row>
    <row r="63" spans="1:3" x14ac:dyDescent="0.4">
      <c r="B63">
        <v>1.55</v>
      </c>
      <c r="C63">
        <v>1.25</v>
      </c>
    </row>
    <row r="64" spans="1:3" x14ac:dyDescent="0.4">
      <c r="B64">
        <f>AVERAGE(B60:B63)</f>
        <v>1.9249999999999998</v>
      </c>
      <c r="C64">
        <f>AVERAGE(C60:C63)</f>
        <v>1.6</v>
      </c>
    </row>
    <row r="66" spans="1:3" x14ac:dyDescent="0.4">
      <c r="A66" t="s">
        <v>8</v>
      </c>
      <c r="B66">
        <v>3.7</v>
      </c>
      <c r="C66">
        <v>2.1</v>
      </c>
    </row>
    <row r="68" spans="1:3" x14ac:dyDescent="0.4">
      <c r="A68" t="s">
        <v>13</v>
      </c>
      <c r="B68">
        <v>2.2000000000000002</v>
      </c>
      <c r="C68">
        <v>2.1</v>
      </c>
    </row>
    <row r="69" spans="1:3" x14ac:dyDescent="0.4">
      <c r="B69">
        <v>2.2000000000000002</v>
      </c>
      <c r="C69">
        <v>2</v>
      </c>
    </row>
    <row r="70" spans="1:3" x14ac:dyDescent="0.4">
      <c r="B70">
        <v>1.8</v>
      </c>
      <c r="C70">
        <v>1.7</v>
      </c>
    </row>
    <row r="71" spans="1:3" x14ac:dyDescent="0.4">
      <c r="B71">
        <v>2.2999999999999998</v>
      </c>
      <c r="C71">
        <v>1.85</v>
      </c>
    </row>
    <row r="72" spans="1:3" x14ac:dyDescent="0.4">
      <c r="B72">
        <v>2.5</v>
      </c>
      <c r="C72">
        <v>2.2000000000000002</v>
      </c>
    </row>
    <row r="73" spans="1:3" x14ac:dyDescent="0.4">
      <c r="B73">
        <v>2.25</v>
      </c>
      <c r="C73">
        <v>2.0499999999999998</v>
      </c>
    </row>
    <row r="74" spans="1:3" x14ac:dyDescent="0.4">
      <c r="B74">
        <v>2</v>
      </c>
      <c r="C74">
        <v>2</v>
      </c>
    </row>
    <row r="75" spans="1:3" x14ac:dyDescent="0.4">
      <c r="B75">
        <v>1.95</v>
      </c>
      <c r="C75">
        <v>1.8</v>
      </c>
    </row>
    <row r="76" spans="1:3" x14ac:dyDescent="0.4">
      <c r="B76">
        <v>2</v>
      </c>
      <c r="C76">
        <v>2.5</v>
      </c>
    </row>
    <row r="77" spans="1:3" x14ac:dyDescent="0.4">
      <c r="B77">
        <v>2.1</v>
      </c>
      <c r="C77">
        <v>1.8</v>
      </c>
    </row>
    <row r="78" spans="1:3" x14ac:dyDescent="0.4">
      <c r="B78">
        <v>1.8</v>
      </c>
      <c r="C78">
        <v>1.7</v>
      </c>
    </row>
    <row r="79" spans="1:3" x14ac:dyDescent="0.4">
      <c r="B79">
        <v>2.0499999999999998</v>
      </c>
      <c r="C79">
        <v>1.6</v>
      </c>
    </row>
    <row r="80" spans="1:3" x14ac:dyDescent="0.4">
      <c r="B80">
        <f>AVERAGE(B68:B79)</f>
        <v>2.0958333333333337</v>
      </c>
      <c r="C80">
        <f>AVERAGE(C68:C79)</f>
        <v>1.9416666666666671</v>
      </c>
    </row>
    <row r="82" spans="1:3" x14ac:dyDescent="0.4">
      <c r="A82" t="s">
        <v>40</v>
      </c>
      <c r="B82">
        <v>2.75</v>
      </c>
      <c r="C82">
        <v>2.4</v>
      </c>
    </row>
    <row r="83" spans="1:3" x14ac:dyDescent="0.4">
      <c r="B83">
        <v>2.35</v>
      </c>
      <c r="C83">
        <v>2.2000000000000002</v>
      </c>
    </row>
    <row r="84" spans="1:3" x14ac:dyDescent="0.4">
      <c r="B84">
        <v>2.2000000000000002</v>
      </c>
      <c r="C84">
        <v>5</v>
      </c>
    </row>
    <row r="85" spans="1:3" x14ac:dyDescent="0.4">
      <c r="B85">
        <v>2</v>
      </c>
      <c r="C85">
        <v>1.9</v>
      </c>
    </row>
    <row r="86" spans="1:3" x14ac:dyDescent="0.4">
      <c r="B86">
        <v>2</v>
      </c>
      <c r="C86">
        <v>1.75</v>
      </c>
    </row>
    <row r="87" spans="1:3" x14ac:dyDescent="0.4">
      <c r="B87">
        <f>AVERAGE(B82:B86)</f>
        <v>2.2600000000000002</v>
      </c>
      <c r="C87">
        <f>AVERAGE(C82:C86)</f>
        <v>2.65</v>
      </c>
    </row>
    <row r="89" spans="1:3" x14ac:dyDescent="0.4">
      <c r="A89" t="s">
        <v>15</v>
      </c>
      <c r="B89">
        <v>2</v>
      </c>
      <c r="C89">
        <v>2.1</v>
      </c>
    </row>
    <row r="90" spans="1:3" x14ac:dyDescent="0.4">
      <c r="B90">
        <v>2.4</v>
      </c>
      <c r="C90">
        <v>2.1</v>
      </c>
    </row>
    <row r="91" spans="1:3" x14ac:dyDescent="0.4">
      <c r="B91">
        <f>AVERAGE(B89:B90)</f>
        <v>2.2000000000000002</v>
      </c>
      <c r="C91">
        <f>AVERAGE(C89:C90)</f>
        <v>2.1</v>
      </c>
    </row>
    <row r="93" spans="1:3" x14ac:dyDescent="0.4">
      <c r="A93" t="s">
        <v>23</v>
      </c>
      <c r="B93">
        <v>2.1</v>
      </c>
      <c r="C93">
        <v>2.4</v>
      </c>
    </row>
    <row r="94" spans="1:3" x14ac:dyDescent="0.4">
      <c r="B94">
        <v>2.4</v>
      </c>
      <c r="C94">
        <v>2.2999999999999998</v>
      </c>
    </row>
    <row r="95" spans="1:3" x14ac:dyDescent="0.4">
      <c r="B95">
        <v>2</v>
      </c>
      <c r="C95">
        <v>1.9</v>
      </c>
    </row>
    <row r="96" spans="1:3" x14ac:dyDescent="0.4">
      <c r="B96">
        <v>1.9</v>
      </c>
      <c r="C96">
        <v>2.35</v>
      </c>
    </row>
    <row r="97" spans="1:3" x14ac:dyDescent="0.4">
      <c r="B97">
        <v>2.2999999999999998</v>
      </c>
      <c r="C97">
        <v>1.85</v>
      </c>
    </row>
    <row r="98" spans="1:3" x14ac:dyDescent="0.4">
      <c r="B98">
        <f>AVERAGE(B93:B97)</f>
        <v>2.1399999999999997</v>
      </c>
      <c r="C98">
        <f>AVERAGE(C93:C97)</f>
        <v>2.1599999999999997</v>
      </c>
    </row>
    <row r="100" spans="1:3" x14ac:dyDescent="0.4">
      <c r="A100" t="s">
        <v>190</v>
      </c>
      <c r="B100">
        <v>2</v>
      </c>
      <c r="C100">
        <v>2</v>
      </c>
    </row>
    <row r="101" spans="1:3" x14ac:dyDescent="0.4">
      <c r="B101">
        <v>2.0499999999999998</v>
      </c>
      <c r="C101">
        <v>2.2999999999999998</v>
      </c>
    </row>
    <row r="102" spans="1:3" x14ac:dyDescent="0.4">
      <c r="B102">
        <v>2</v>
      </c>
      <c r="C102">
        <v>2.0499999999999998</v>
      </c>
    </row>
    <row r="103" spans="1:3" x14ac:dyDescent="0.4">
      <c r="B103">
        <v>2.2000000000000002</v>
      </c>
      <c r="C103">
        <v>1.9</v>
      </c>
    </row>
    <row r="104" spans="1:3" x14ac:dyDescent="0.4">
      <c r="B104">
        <v>2.1</v>
      </c>
      <c r="C104">
        <v>1.75</v>
      </c>
    </row>
    <row r="105" spans="1:3" x14ac:dyDescent="0.4">
      <c r="B105">
        <v>2.65</v>
      </c>
      <c r="C105">
        <v>2.1</v>
      </c>
    </row>
    <row r="106" spans="1:3" x14ac:dyDescent="0.4">
      <c r="B106">
        <f>AVERAGE(B100:B105)</f>
        <v>2.1666666666666665</v>
      </c>
      <c r="C106">
        <f>AVERAGE(C100:C105)</f>
        <v>2.0166666666666666</v>
      </c>
    </row>
    <row r="108" spans="1:3" x14ac:dyDescent="0.4">
      <c r="A108" t="s">
        <v>21</v>
      </c>
      <c r="B108">
        <v>2.4</v>
      </c>
      <c r="C108">
        <v>1.9</v>
      </c>
    </row>
    <row r="109" spans="1:3" x14ac:dyDescent="0.4">
      <c r="B109">
        <v>1.7</v>
      </c>
      <c r="C109">
        <v>1.7</v>
      </c>
    </row>
    <row r="110" spans="1:3" x14ac:dyDescent="0.4">
      <c r="B110">
        <v>2.4</v>
      </c>
      <c r="C110">
        <v>1.8</v>
      </c>
    </row>
    <row r="111" spans="1:3" x14ac:dyDescent="0.4">
      <c r="B111">
        <v>1.45</v>
      </c>
      <c r="C111">
        <v>1.5</v>
      </c>
    </row>
    <row r="112" spans="1:3" x14ac:dyDescent="0.4">
      <c r="B112">
        <v>2.35</v>
      </c>
      <c r="C112">
        <v>1.95</v>
      </c>
    </row>
    <row r="113" spans="1:3" x14ac:dyDescent="0.4">
      <c r="B113">
        <f>AVERAGE(B108:B112)</f>
        <v>2.06</v>
      </c>
      <c r="C113">
        <f>AVERAGE(C108:C112)</f>
        <v>1.77</v>
      </c>
    </row>
    <row r="115" spans="1:3" x14ac:dyDescent="0.4">
      <c r="A115" t="s">
        <v>26</v>
      </c>
      <c r="B115">
        <v>2.1</v>
      </c>
      <c r="C115">
        <v>1.9</v>
      </c>
    </row>
    <row r="116" spans="1:3" x14ac:dyDescent="0.4">
      <c r="B116">
        <v>2.2000000000000002</v>
      </c>
      <c r="C116">
        <v>1.9</v>
      </c>
    </row>
    <row r="117" spans="1:3" x14ac:dyDescent="0.4">
      <c r="B117">
        <v>2.2999999999999998</v>
      </c>
      <c r="C117">
        <v>1.65</v>
      </c>
    </row>
    <row r="118" spans="1:3" x14ac:dyDescent="0.4">
      <c r="B118">
        <v>2.1</v>
      </c>
      <c r="C118">
        <v>1.8</v>
      </c>
    </row>
    <row r="119" spans="1:3" x14ac:dyDescent="0.4">
      <c r="B119">
        <v>2</v>
      </c>
      <c r="C119">
        <v>1.85</v>
      </c>
    </row>
    <row r="120" spans="1:3" x14ac:dyDescent="0.4">
      <c r="B120">
        <v>2.35</v>
      </c>
      <c r="C120">
        <v>1.9</v>
      </c>
    </row>
    <row r="121" spans="1:3" x14ac:dyDescent="0.4">
      <c r="B121">
        <v>1.9</v>
      </c>
      <c r="C121">
        <v>1.8</v>
      </c>
    </row>
    <row r="122" spans="1:3" x14ac:dyDescent="0.4">
      <c r="B122">
        <v>2.2999999999999998</v>
      </c>
      <c r="C122">
        <v>2</v>
      </c>
    </row>
    <row r="123" spans="1:3" x14ac:dyDescent="0.4">
      <c r="B123">
        <f>AVERAGE(B115:B122)</f>
        <v>2.15625</v>
      </c>
      <c r="C123">
        <f>AVERAGE(C115:C122)</f>
        <v>1.85</v>
      </c>
    </row>
    <row r="125" spans="1:3" x14ac:dyDescent="0.4">
      <c r="A125" t="s">
        <v>30</v>
      </c>
      <c r="B125">
        <v>2.5</v>
      </c>
      <c r="C125">
        <v>2</v>
      </c>
    </row>
    <row r="126" spans="1:3" x14ac:dyDescent="0.4">
      <c r="B126">
        <v>2.4</v>
      </c>
      <c r="C126">
        <v>2.1</v>
      </c>
    </row>
    <row r="127" spans="1:3" x14ac:dyDescent="0.4">
      <c r="B127">
        <v>2.2000000000000002</v>
      </c>
      <c r="C127">
        <v>2.25</v>
      </c>
    </row>
    <row r="128" spans="1:3" x14ac:dyDescent="0.4">
      <c r="B128">
        <v>2.2999999999999998</v>
      </c>
      <c r="C128">
        <v>2.1</v>
      </c>
    </row>
    <row r="129" spans="1:3" x14ac:dyDescent="0.4">
      <c r="B129">
        <v>2.5</v>
      </c>
      <c r="C129">
        <v>1.9</v>
      </c>
    </row>
    <row r="130" spans="1:3" x14ac:dyDescent="0.4">
      <c r="B130">
        <v>2.35</v>
      </c>
      <c r="C130">
        <v>1.95</v>
      </c>
    </row>
    <row r="131" spans="1:3" x14ac:dyDescent="0.4">
      <c r="B131">
        <v>1.9</v>
      </c>
      <c r="C131">
        <v>1.8</v>
      </c>
    </row>
    <row r="132" spans="1:3" x14ac:dyDescent="0.4">
      <c r="B132">
        <f>AVERAGE(B125:B131)</f>
        <v>2.3071428571428569</v>
      </c>
      <c r="C132">
        <f>AVERAGE(C125:C131)</f>
        <v>2.0142857142857142</v>
      </c>
    </row>
    <row r="134" spans="1:3" x14ac:dyDescent="0.4">
      <c r="A134" t="s">
        <v>14</v>
      </c>
      <c r="B134">
        <v>1.5</v>
      </c>
      <c r="C134">
        <v>1.9</v>
      </c>
    </row>
    <row r="135" spans="1:3" x14ac:dyDescent="0.4">
      <c r="B135">
        <v>2.1</v>
      </c>
      <c r="C135">
        <v>2</v>
      </c>
    </row>
    <row r="136" spans="1:3" x14ac:dyDescent="0.4">
      <c r="B136">
        <v>2.2999999999999998</v>
      </c>
      <c r="C136">
        <v>2.1</v>
      </c>
    </row>
    <row r="137" spans="1:3" x14ac:dyDescent="0.4">
      <c r="B137">
        <v>1.9</v>
      </c>
      <c r="C137">
        <v>2</v>
      </c>
    </row>
    <row r="138" spans="1:3" x14ac:dyDescent="0.4">
      <c r="B138">
        <v>1.9</v>
      </c>
      <c r="C138">
        <v>2</v>
      </c>
    </row>
    <row r="139" spans="1:3" x14ac:dyDescent="0.4">
      <c r="B139">
        <v>1.85</v>
      </c>
      <c r="C139">
        <v>1.8</v>
      </c>
    </row>
    <row r="140" spans="1:3" x14ac:dyDescent="0.4">
      <c r="B140">
        <v>1.5</v>
      </c>
      <c r="C140">
        <v>1.75</v>
      </c>
    </row>
    <row r="141" spans="1:3" x14ac:dyDescent="0.4">
      <c r="B141">
        <v>1.55</v>
      </c>
      <c r="C141">
        <v>1.7</v>
      </c>
    </row>
    <row r="142" spans="1:3" x14ac:dyDescent="0.4">
      <c r="B142">
        <v>1.8</v>
      </c>
      <c r="C142">
        <v>1.6</v>
      </c>
    </row>
    <row r="143" spans="1:3" x14ac:dyDescent="0.4">
      <c r="B143">
        <f>AVERAGE(B134:B142)</f>
        <v>1.8222222222222224</v>
      </c>
      <c r="C143">
        <f>AVERAGE(C134:C142)</f>
        <v>1.8722222222222225</v>
      </c>
    </row>
    <row r="145" spans="1:3" x14ac:dyDescent="0.4">
      <c r="A145" t="s">
        <v>24</v>
      </c>
      <c r="B145">
        <v>1.75</v>
      </c>
      <c r="C145">
        <v>1.9</v>
      </c>
    </row>
    <row r="146" spans="1:3" x14ac:dyDescent="0.4">
      <c r="B146">
        <v>2.1</v>
      </c>
      <c r="C146">
        <v>2</v>
      </c>
    </row>
    <row r="147" spans="1:3" x14ac:dyDescent="0.4">
      <c r="B147">
        <v>2.1</v>
      </c>
      <c r="C147">
        <v>2</v>
      </c>
    </row>
    <row r="148" spans="1:3" x14ac:dyDescent="0.4">
      <c r="B148">
        <v>2.35</v>
      </c>
      <c r="C148">
        <v>1.95</v>
      </c>
    </row>
    <row r="149" spans="1:3" x14ac:dyDescent="0.4">
      <c r="B149">
        <f>AVERAGE(B145:B148)</f>
        <v>2.0750000000000002</v>
      </c>
      <c r="C149">
        <f>AVERAGE(C145:C148)</f>
        <v>1.9625000000000001</v>
      </c>
    </row>
    <row r="151" spans="1:3" x14ac:dyDescent="0.4">
      <c r="A151" t="s">
        <v>25</v>
      </c>
      <c r="B151">
        <v>1.95</v>
      </c>
      <c r="C151">
        <v>1.65</v>
      </c>
    </row>
    <row r="152" spans="1:3" x14ac:dyDescent="0.4">
      <c r="B152">
        <v>2.8</v>
      </c>
      <c r="C152">
        <v>2.2999999999999998</v>
      </c>
    </row>
    <row r="153" spans="1:3" x14ac:dyDescent="0.4">
      <c r="B153">
        <v>2.2999999999999998</v>
      </c>
      <c r="C153">
        <v>2.4</v>
      </c>
    </row>
    <row r="154" spans="1:3" x14ac:dyDescent="0.4">
      <c r="B154">
        <v>2.6</v>
      </c>
      <c r="C154">
        <v>2.1</v>
      </c>
    </row>
    <row r="155" spans="1:3" x14ac:dyDescent="0.4">
      <c r="B155">
        <v>2.25</v>
      </c>
      <c r="C155">
        <v>1.95</v>
      </c>
    </row>
    <row r="156" spans="1:3" x14ac:dyDescent="0.4">
      <c r="B156">
        <f>AVERAGE(B151:B155)</f>
        <v>2.38</v>
      </c>
      <c r="C156">
        <f>AVERAGE(C151:C155)</f>
        <v>2.0799999999999996</v>
      </c>
    </row>
    <row r="158" spans="1:3" x14ac:dyDescent="0.4">
      <c r="A158" t="s">
        <v>24</v>
      </c>
      <c r="B158">
        <v>2.35</v>
      </c>
      <c r="C158">
        <v>2.1</v>
      </c>
    </row>
    <row r="159" spans="1:3" x14ac:dyDescent="0.4">
      <c r="B159">
        <v>2.6</v>
      </c>
      <c r="C159">
        <v>1.95</v>
      </c>
    </row>
    <row r="160" spans="1:3" x14ac:dyDescent="0.4">
      <c r="B160">
        <v>2.4</v>
      </c>
      <c r="C160">
        <v>1.9</v>
      </c>
    </row>
    <row r="161" spans="1:3" x14ac:dyDescent="0.4">
      <c r="B161">
        <v>2.8</v>
      </c>
      <c r="C161">
        <v>1.95</v>
      </c>
    </row>
    <row r="162" spans="1:3" x14ac:dyDescent="0.4">
      <c r="B162">
        <v>1.5</v>
      </c>
      <c r="C162">
        <v>1.7</v>
      </c>
    </row>
    <row r="163" spans="1:3" x14ac:dyDescent="0.4">
      <c r="B163">
        <f>AVERAGE(B158:B162)</f>
        <v>2.3299999999999996</v>
      </c>
      <c r="C163">
        <f>AVERAGE(C158:C162)</f>
        <v>1.92</v>
      </c>
    </row>
    <row r="165" spans="1:3" x14ac:dyDescent="0.4">
      <c r="A165" t="s">
        <v>28</v>
      </c>
      <c r="B165">
        <v>1.9</v>
      </c>
      <c r="C165">
        <v>2.35</v>
      </c>
    </row>
    <row r="166" spans="1:3" x14ac:dyDescent="0.4">
      <c r="B166">
        <v>1.9</v>
      </c>
      <c r="C166">
        <v>2</v>
      </c>
    </row>
    <row r="167" spans="1:3" x14ac:dyDescent="0.4">
      <c r="B167">
        <v>1.8</v>
      </c>
      <c r="C167">
        <v>2.1</v>
      </c>
    </row>
    <row r="168" spans="1:3" x14ac:dyDescent="0.4">
      <c r="B168">
        <v>1.7</v>
      </c>
      <c r="C168">
        <v>2.1</v>
      </c>
    </row>
    <row r="169" spans="1:3" x14ac:dyDescent="0.4">
      <c r="B169">
        <v>2.35</v>
      </c>
      <c r="C169">
        <v>2.2999999999999998</v>
      </c>
    </row>
    <row r="170" spans="1:3" x14ac:dyDescent="0.4">
      <c r="B170">
        <v>1.7</v>
      </c>
      <c r="C170">
        <v>2.1</v>
      </c>
    </row>
    <row r="171" spans="1:3" x14ac:dyDescent="0.4">
      <c r="B171">
        <v>2</v>
      </c>
      <c r="C171">
        <v>2.1</v>
      </c>
    </row>
    <row r="172" spans="1:3" x14ac:dyDescent="0.4">
      <c r="B172">
        <f>AVERAGE(B165:B171)</f>
        <v>1.907142857142857</v>
      </c>
      <c r="C172">
        <f>AVERAGE(C165:C171)</f>
        <v>2.1499999999999995</v>
      </c>
    </row>
    <row r="174" spans="1:3" x14ac:dyDescent="0.4">
      <c r="A174" t="s">
        <v>17</v>
      </c>
      <c r="B174">
        <v>2.8</v>
      </c>
      <c r="C174">
        <v>1.95</v>
      </c>
    </row>
    <row r="175" spans="1:3" x14ac:dyDescent="0.4">
      <c r="B175">
        <v>2.5</v>
      </c>
      <c r="C175">
        <v>2</v>
      </c>
    </row>
    <row r="176" spans="1:3" x14ac:dyDescent="0.4">
      <c r="B176">
        <v>2.4</v>
      </c>
      <c r="C176">
        <v>1.95</v>
      </c>
    </row>
    <row r="177" spans="1:3" x14ac:dyDescent="0.4">
      <c r="B177">
        <v>2.5</v>
      </c>
      <c r="C177">
        <v>2.0499999999999998</v>
      </c>
    </row>
    <row r="178" spans="1:3" x14ac:dyDescent="0.4">
      <c r="B178">
        <v>2.5499999999999998</v>
      </c>
      <c r="C178">
        <v>2</v>
      </c>
    </row>
    <row r="179" spans="1:3" x14ac:dyDescent="0.4">
      <c r="B179">
        <v>2.35</v>
      </c>
      <c r="C179">
        <v>1.95</v>
      </c>
    </row>
    <row r="180" spans="1:3" x14ac:dyDescent="0.4">
      <c r="B180">
        <v>2.35</v>
      </c>
      <c r="C180">
        <v>1.8</v>
      </c>
    </row>
    <row r="181" spans="1:3" x14ac:dyDescent="0.4">
      <c r="B181">
        <v>2.5</v>
      </c>
      <c r="C181">
        <v>2</v>
      </c>
    </row>
    <row r="182" spans="1:3" x14ac:dyDescent="0.4">
      <c r="B182">
        <v>2.75</v>
      </c>
      <c r="C182">
        <v>1.95</v>
      </c>
    </row>
    <row r="183" spans="1:3" x14ac:dyDescent="0.4">
      <c r="B183">
        <v>2.5</v>
      </c>
      <c r="C183">
        <v>2</v>
      </c>
    </row>
    <row r="184" spans="1:3" x14ac:dyDescent="0.4">
      <c r="B184">
        <v>2.6</v>
      </c>
      <c r="C184">
        <v>2.1</v>
      </c>
    </row>
    <row r="185" spans="1:3" x14ac:dyDescent="0.4">
      <c r="B185">
        <v>2.35</v>
      </c>
      <c r="C185">
        <v>1.95</v>
      </c>
    </row>
    <row r="186" spans="1:3" x14ac:dyDescent="0.4">
      <c r="B186">
        <v>2.2000000000000002</v>
      </c>
      <c r="C186">
        <v>1.8</v>
      </c>
    </row>
    <row r="187" spans="1:3" x14ac:dyDescent="0.4">
      <c r="B187">
        <v>2.1</v>
      </c>
      <c r="C187">
        <v>2</v>
      </c>
    </row>
    <row r="188" spans="1:3" x14ac:dyDescent="0.4">
      <c r="B188">
        <v>2.35</v>
      </c>
      <c r="C188">
        <v>1.9</v>
      </c>
    </row>
    <row r="189" spans="1:3" x14ac:dyDescent="0.4">
      <c r="B189">
        <f>AVERAGE(B174:B188)</f>
        <v>2.4533333333333336</v>
      </c>
      <c r="C189">
        <f>AVERAGE(C174:C188)</f>
        <v>1.96</v>
      </c>
    </row>
    <row r="191" spans="1:3" x14ac:dyDescent="0.4">
      <c r="A191" t="s">
        <v>18</v>
      </c>
      <c r="B191">
        <v>2.7</v>
      </c>
      <c r="C191">
        <v>2.5</v>
      </c>
    </row>
    <row r="192" spans="1:3" x14ac:dyDescent="0.4">
      <c r="B192">
        <v>2.6</v>
      </c>
      <c r="C192">
        <v>1.9</v>
      </c>
    </row>
    <row r="193" spans="1:3" x14ac:dyDescent="0.4">
      <c r="B193">
        <v>2.85</v>
      </c>
      <c r="C193">
        <v>2.4</v>
      </c>
    </row>
    <row r="194" spans="1:3" x14ac:dyDescent="0.4">
      <c r="B194">
        <v>2.65</v>
      </c>
      <c r="C194">
        <v>2.4500000000000002</v>
      </c>
    </row>
    <row r="195" spans="1:3" x14ac:dyDescent="0.4">
      <c r="B195">
        <v>2.1</v>
      </c>
      <c r="C195">
        <v>2.35</v>
      </c>
    </row>
    <row r="196" spans="1:3" x14ac:dyDescent="0.4">
      <c r="B196">
        <f>AVERAGE(B191:B195)</f>
        <v>2.58</v>
      </c>
      <c r="C196">
        <f>AVERAGE(C191:C195)</f>
        <v>2.3199999999999998</v>
      </c>
    </row>
    <row r="198" spans="1:3" x14ac:dyDescent="0.4">
      <c r="A198" t="s">
        <v>27</v>
      </c>
      <c r="B198">
        <v>2.5</v>
      </c>
      <c r="C198">
        <v>2.1</v>
      </c>
    </row>
    <row r="199" spans="1:3" x14ac:dyDescent="0.4">
      <c r="B199">
        <v>2.1</v>
      </c>
      <c r="C199">
        <v>2.6</v>
      </c>
    </row>
    <row r="200" spans="1:3" x14ac:dyDescent="0.4">
      <c r="B200">
        <v>2.7</v>
      </c>
      <c r="C200">
        <v>2.2999999999999998</v>
      </c>
    </row>
    <row r="201" spans="1:3" x14ac:dyDescent="0.4">
      <c r="B201">
        <v>2.9</v>
      </c>
      <c r="C201">
        <v>2.5</v>
      </c>
    </row>
    <row r="202" spans="1:3" x14ac:dyDescent="0.4">
      <c r="B202">
        <v>2.1</v>
      </c>
      <c r="C202">
        <v>2</v>
      </c>
    </row>
    <row r="203" spans="1:3" x14ac:dyDescent="0.4">
      <c r="B203">
        <v>2.15</v>
      </c>
      <c r="C203">
        <v>2</v>
      </c>
    </row>
    <row r="204" spans="1:3" x14ac:dyDescent="0.4">
      <c r="B204">
        <v>2.5</v>
      </c>
      <c r="C204">
        <v>2.15</v>
      </c>
    </row>
    <row r="205" spans="1:3" x14ac:dyDescent="0.4">
      <c r="B205">
        <v>2.4</v>
      </c>
      <c r="C205">
        <v>2.2000000000000002</v>
      </c>
    </row>
    <row r="206" spans="1:3" x14ac:dyDescent="0.4">
      <c r="B206">
        <v>2.2000000000000002</v>
      </c>
      <c r="C206">
        <v>1.8</v>
      </c>
    </row>
    <row r="207" spans="1:3" x14ac:dyDescent="0.4">
      <c r="B207">
        <f>AVERAGE(B198:B206)</f>
        <v>2.3944444444444439</v>
      </c>
      <c r="C207">
        <f>AVERAGE(C198:C206)</f>
        <v>2.1833333333333336</v>
      </c>
    </row>
    <row r="209" spans="1:3" x14ac:dyDescent="0.4">
      <c r="A209" t="s">
        <v>20</v>
      </c>
      <c r="B209">
        <v>2.4</v>
      </c>
      <c r="C209">
        <v>2.2000000000000002</v>
      </c>
    </row>
    <row r="210" spans="1:3" x14ac:dyDescent="0.4">
      <c r="B210">
        <v>2.5</v>
      </c>
      <c r="C210">
        <v>2.0499999999999998</v>
      </c>
    </row>
    <row r="211" spans="1:3" x14ac:dyDescent="0.4">
      <c r="B211">
        <v>2.5</v>
      </c>
      <c r="C211">
        <v>2.8</v>
      </c>
    </row>
    <row r="212" spans="1:3" x14ac:dyDescent="0.4">
      <c r="B212">
        <v>2.2999999999999998</v>
      </c>
      <c r="C212">
        <v>2.1</v>
      </c>
    </row>
    <row r="213" spans="1:3" x14ac:dyDescent="0.4">
      <c r="B213">
        <v>2.35</v>
      </c>
      <c r="C213">
        <v>1.9</v>
      </c>
    </row>
    <row r="214" spans="1:3" x14ac:dyDescent="0.4">
      <c r="B214">
        <v>2.5</v>
      </c>
      <c r="C214">
        <v>2.1</v>
      </c>
    </row>
    <row r="215" spans="1:3" x14ac:dyDescent="0.4">
      <c r="B215">
        <v>2.7</v>
      </c>
      <c r="C215">
        <v>2</v>
      </c>
    </row>
    <row r="216" spans="1:3" x14ac:dyDescent="0.4">
      <c r="B216">
        <v>2.2000000000000002</v>
      </c>
      <c r="C216">
        <v>2</v>
      </c>
    </row>
    <row r="217" spans="1:3" x14ac:dyDescent="0.4">
      <c r="B217">
        <v>2.4500000000000002</v>
      </c>
      <c r="C217">
        <v>2.2999999999999998</v>
      </c>
    </row>
    <row r="218" spans="1:3" x14ac:dyDescent="0.4">
      <c r="B218">
        <v>2.2999999999999998</v>
      </c>
      <c r="C218">
        <v>1.95</v>
      </c>
    </row>
    <row r="219" spans="1:3" x14ac:dyDescent="0.4">
      <c r="B219">
        <v>2.6</v>
      </c>
      <c r="C219">
        <v>2.1</v>
      </c>
    </row>
    <row r="220" spans="1:3" x14ac:dyDescent="0.4">
      <c r="B220">
        <v>2.5</v>
      </c>
      <c r="C220">
        <v>2.1</v>
      </c>
    </row>
    <row r="221" spans="1:3" x14ac:dyDescent="0.4">
      <c r="B221">
        <v>2.4</v>
      </c>
      <c r="C221">
        <v>2</v>
      </c>
    </row>
    <row r="222" spans="1:3" x14ac:dyDescent="0.4">
      <c r="B222">
        <v>2.6</v>
      </c>
      <c r="C222">
        <v>2.1</v>
      </c>
    </row>
    <row r="223" spans="1:3" x14ac:dyDescent="0.4">
      <c r="B223">
        <v>2.6</v>
      </c>
      <c r="C223">
        <v>2.1</v>
      </c>
    </row>
    <row r="224" spans="1:3" x14ac:dyDescent="0.4">
      <c r="B224">
        <v>2.2999999999999998</v>
      </c>
      <c r="C224">
        <v>2</v>
      </c>
    </row>
    <row r="225" spans="1:3" x14ac:dyDescent="0.4">
      <c r="B225">
        <f>AVERAGE(B209:B224)</f>
        <v>2.4499999999999997</v>
      </c>
      <c r="C225">
        <f>AVERAGE(C209:C224)</f>
        <v>2.1125000000000003</v>
      </c>
    </row>
    <row r="227" spans="1:3" x14ac:dyDescent="0.4">
      <c r="A227" t="s">
        <v>16</v>
      </c>
      <c r="B227">
        <v>2.6</v>
      </c>
      <c r="C227">
        <v>2.35</v>
      </c>
    </row>
    <row r="228" spans="1:3" x14ac:dyDescent="0.4">
      <c r="B228">
        <v>1.8</v>
      </c>
      <c r="C228">
        <v>2.1</v>
      </c>
    </row>
    <row r="229" spans="1:3" x14ac:dyDescent="0.4">
      <c r="B229">
        <v>1.7</v>
      </c>
      <c r="C229">
        <v>2</v>
      </c>
    </row>
    <row r="230" spans="1:3" x14ac:dyDescent="0.4">
      <c r="B230">
        <v>1.8</v>
      </c>
      <c r="C230">
        <v>1.9</v>
      </c>
    </row>
    <row r="231" spans="1:3" x14ac:dyDescent="0.4">
      <c r="B231">
        <v>1.9</v>
      </c>
      <c r="C231">
        <v>2.1</v>
      </c>
    </row>
    <row r="232" spans="1:3" x14ac:dyDescent="0.4">
      <c r="B232">
        <f>AVERAGE(B227:B231)</f>
        <v>1.9600000000000002</v>
      </c>
      <c r="C232">
        <f>AVERAGE(C227:C231)</f>
        <v>2.09</v>
      </c>
    </row>
    <row r="234" spans="1:3" x14ac:dyDescent="0.4">
      <c r="A234" t="s">
        <v>29</v>
      </c>
      <c r="B234">
        <v>2.15</v>
      </c>
      <c r="C234">
        <v>2.1</v>
      </c>
    </row>
    <row r="235" spans="1:3" x14ac:dyDescent="0.4">
      <c r="B235">
        <v>1.9</v>
      </c>
      <c r="C235">
        <v>2</v>
      </c>
    </row>
    <row r="236" spans="1:3" x14ac:dyDescent="0.4">
      <c r="B236">
        <v>1.85</v>
      </c>
      <c r="C236">
        <v>2.2000000000000002</v>
      </c>
    </row>
    <row r="237" spans="1:3" x14ac:dyDescent="0.4">
      <c r="B237">
        <v>2</v>
      </c>
      <c r="C237">
        <v>2.1</v>
      </c>
    </row>
    <row r="238" spans="1:3" x14ac:dyDescent="0.4">
      <c r="B238">
        <v>2.2000000000000002</v>
      </c>
      <c r="C238">
        <v>2.2000000000000002</v>
      </c>
    </row>
    <row r="239" spans="1:3" x14ac:dyDescent="0.4">
      <c r="B239">
        <f>AVERAGE(B234:B238)</f>
        <v>2.0200000000000005</v>
      </c>
      <c r="C239">
        <f>AVERAGE(C234:C238)</f>
        <v>2.12</v>
      </c>
    </row>
    <row r="241" spans="1:3" x14ac:dyDescent="0.4">
      <c r="A241" t="s">
        <v>42</v>
      </c>
      <c r="B241">
        <v>3.25</v>
      </c>
      <c r="C241">
        <v>1.9</v>
      </c>
    </row>
    <row r="242" spans="1:3" x14ac:dyDescent="0.4">
      <c r="B242">
        <v>2.4500000000000002</v>
      </c>
      <c r="C242">
        <v>1.85</v>
      </c>
    </row>
    <row r="243" spans="1:3" x14ac:dyDescent="0.4">
      <c r="B243">
        <v>2.75</v>
      </c>
      <c r="C243">
        <v>1.9</v>
      </c>
    </row>
    <row r="244" spans="1:3" x14ac:dyDescent="0.4">
      <c r="B244">
        <v>2.2999999999999998</v>
      </c>
      <c r="C244">
        <v>1.9</v>
      </c>
    </row>
    <row r="245" spans="1:3" x14ac:dyDescent="0.4">
      <c r="B245">
        <f>AVERAGE(B241:B244)</f>
        <v>2.6875</v>
      </c>
      <c r="C245">
        <f>AVERAGE(C241:C244)</f>
        <v>1.8875000000000002</v>
      </c>
    </row>
    <row r="247" spans="1:3" x14ac:dyDescent="0.4">
      <c r="A247" t="s">
        <v>45</v>
      </c>
      <c r="B247">
        <v>1.8</v>
      </c>
      <c r="C247">
        <v>1.35</v>
      </c>
    </row>
    <row r="248" spans="1:3" x14ac:dyDescent="0.4">
      <c r="B248">
        <v>2.15</v>
      </c>
      <c r="C248">
        <v>1.5</v>
      </c>
    </row>
    <row r="249" spans="1:3" x14ac:dyDescent="0.4">
      <c r="B249">
        <v>2</v>
      </c>
      <c r="C249">
        <v>1.5</v>
      </c>
    </row>
    <row r="250" spans="1:3" x14ac:dyDescent="0.4">
      <c r="B250">
        <v>2.2999999999999998</v>
      </c>
      <c r="C250">
        <v>1.6</v>
      </c>
    </row>
    <row r="251" spans="1:3" x14ac:dyDescent="0.4">
      <c r="B251">
        <v>2</v>
      </c>
      <c r="C251">
        <v>1.5</v>
      </c>
    </row>
    <row r="252" spans="1:3" x14ac:dyDescent="0.4">
      <c r="B252">
        <f>AVERAGE(B247:B251)</f>
        <v>2.0499999999999998</v>
      </c>
      <c r="C252">
        <f>AVERAGE(C247:C251)</f>
        <v>1.4899999999999998</v>
      </c>
    </row>
    <row r="254" spans="1:3" x14ac:dyDescent="0.4">
      <c r="A254" t="s">
        <v>35</v>
      </c>
      <c r="B254">
        <v>2.35</v>
      </c>
      <c r="C254">
        <v>2.2999999999999998</v>
      </c>
    </row>
    <row r="255" spans="1:3" x14ac:dyDescent="0.4">
      <c r="B255">
        <v>2.1</v>
      </c>
      <c r="C255">
        <v>1.6</v>
      </c>
    </row>
    <row r="256" spans="1:3" x14ac:dyDescent="0.4">
      <c r="B256">
        <v>2.85</v>
      </c>
      <c r="C256">
        <v>1.9</v>
      </c>
    </row>
    <row r="257" spans="1:3" x14ac:dyDescent="0.4">
      <c r="B257">
        <v>2.1</v>
      </c>
      <c r="C257">
        <v>1.9</v>
      </c>
    </row>
    <row r="258" spans="1:3" x14ac:dyDescent="0.4">
      <c r="B258">
        <v>2.15</v>
      </c>
      <c r="C258">
        <v>1.95</v>
      </c>
    </row>
    <row r="259" spans="1:3" x14ac:dyDescent="0.4">
      <c r="B259">
        <v>2.2000000000000002</v>
      </c>
      <c r="C259">
        <v>1.9</v>
      </c>
    </row>
    <row r="260" spans="1:3" x14ac:dyDescent="0.4">
      <c r="B260">
        <v>2.5499999999999998</v>
      </c>
      <c r="C260">
        <v>2.1</v>
      </c>
    </row>
    <row r="261" spans="1:3" x14ac:dyDescent="0.4">
      <c r="B261">
        <f>AVERAGE(B254:B260)</f>
        <v>2.3285714285714287</v>
      </c>
      <c r="C261">
        <f>AVERAGE(C254:C260)</f>
        <v>1.9499999999999997</v>
      </c>
    </row>
    <row r="263" spans="1:3" x14ac:dyDescent="0.4">
      <c r="A263" t="s">
        <v>41</v>
      </c>
      <c r="B263">
        <v>2.4</v>
      </c>
      <c r="C263">
        <v>2.2000000000000002</v>
      </c>
    </row>
    <row r="264" spans="1:3" x14ac:dyDescent="0.4">
      <c r="B264">
        <v>2.65</v>
      </c>
      <c r="C264">
        <v>1.8</v>
      </c>
    </row>
    <row r="265" spans="1:3" x14ac:dyDescent="0.4">
      <c r="B265">
        <v>2.7</v>
      </c>
      <c r="C265">
        <v>1.8</v>
      </c>
    </row>
    <row r="266" spans="1:3" x14ac:dyDescent="0.4">
      <c r="B266">
        <v>2.5</v>
      </c>
      <c r="C266">
        <v>2.35</v>
      </c>
    </row>
    <row r="267" spans="1:3" x14ac:dyDescent="0.4">
      <c r="B267">
        <v>3.15</v>
      </c>
      <c r="C267">
        <v>1.9</v>
      </c>
    </row>
    <row r="268" spans="1:3" x14ac:dyDescent="0.4">
      <c r="B268">
        <v>2.6</v>
      </c>
      <c r="C268">
        <v>1.75</v>
      </c>
    </row>
    <row r="269" spans="1:3" x14ac:dyDescent="0.4">
      <c r="B269">
        <v>2.65</v>
      </c>
      <c r="C269">
        <v>1.85</v>
      </c>
    </row>
    <row r="270" spans="1:3" x14ac:dyDescent="0.4">
      <c r="B270">
        <v>2.7</v>
      </c>
      <c r="C270">
        <v>1.6</v>
      </c>
    </row>
    <row r="271" spans="1:3" x14ac:dyDescent="0.4">
      <c r="B271">
        <v>2.2999999999999998</v>
      </c>
      <c r="C271">
        <v>1.7</v>
      </c>
    </row>
    <row r="272" spans="1:3" x14ac:dyDescent="0.4">
      <c r="B272">
        <v>2.35</v>
      </c>
      <c r="C272">
        <v>1.5</v>
      </c>
    </row>
    <row r="273" spans="1:3" x14ac:dyDescent="0.4">
      <c r="B273">
        <v>3.2</v>
      </c>
      <c r="C273">
        <v>2</v>
      </c>
    </row>
    <row r="274" spans="1:3" x14ac:dyDescent="0.4">
      <c r="B274">
        <v>2.4</v>
      </c>
      <c r="C274">
        <v>1.7</v>
      </c>
    </row>
    <row r="275" spans="1:3" x14ac:dyDescent="0.4">
      <c r="B275">
        <v>2.1</v>
      </c>
      <c r="C275">
        <v>1.65</v>
      </c>
    </row>
    <row r="276" spans="1:3" x14ac:dyDescent="0.4">
      <c r="B276">
        <v>2.4</v>
      </c>
      <c r="C276">
        <v>1.7</v>
      </c>
    </row>
    <row r="277" spans="1:3" x14ac:dyDescent="0.4">
      <c r="B277">
        <v>2.7</v>
      </c>
      <c r="C277">
        <v>1.7</v>
      </c>
    </row>
    <row r="278" spans="1:3" x14ac:dyDescent="0.4">
      <c r="B278">
        <v>2.5</v>
      </c>
      <c r="C278">
        <v>1.7</v>
      </c>
    </row>
    <row r="279" spans="1:3" x14ac:dyDescent="0.4">
      <c r="B279">
        <f>AVERAGE(B263:B278)</f>
        <v>2.5812499999999998</v>
      </c>
      <c r="C279">
        <f>AVERAGE(C263:C278)</f>
        <v>1.8062499999999997</v>
      </c>
    </row>
    <row r="281" spans="1:3" x14ac:dyDescent="0.4">
      <c r="A281" t="s">
        <v>43</v>
      </c>
      <c r="B281">
        <v>1.9</v>
      </c>
      <c r="C281">
        <v>1.45</v>
      </c>
    </row>
    <row r="282" spans="1:3" x14ac:dyDescent="0.4">
      <c r="B282">
        <v>1.75</v>
      </c>
      <c r="C282">
        <v>1.85</v>
      </c>
    </row>
    <row r="283" spans="1:3" x14ac:dyDescent="0.4">
      <c r="B283">
        <v>1.9</v>
      </c>
      <c r="C283">
        <v>1.85</v>
      </c>
    </row>
    <row r="284" spans="1:3" x14ac:dyDescent="0.4">
      <c r="B284">
        <v>1.8</v>
      </c>
      <c r="C284">
        <v>1.4</v>
      </c>
    </row>
    <row r="285" spans="1:3" x14ac:dyDescent="0.4">
      <c r="B285">
        <v>1.95</v>
      </c>
      <c r="C285">
        <v>1.35</v>
      </c>
    </row>
    <row r="286" spans="1:3" x14ac:dyDescent="0.4">
      <c r="B286">
        <v>1.95</v>
      </c>
      <c r="C286">
        <v>1.45</v>
      </c>
    </row>
    <row r="287" spans="1:3" x14ac:dyDescent="0.4">
      <c r="B287">
        <v>1.95</v>
      </c>
      <c r="C287">
        <v>1.4</v>
      </c>
    </row>
    <row r="288" spans="1:3" x14ac:dyDescent="0.4">
      <c r="B288">
        <v>1.8</v>
      </c>
      <c r="C288">
        <v>1.45</v>
      </c>
    </row>
    <row r="289" spans="1:3" x14ac:dyDescent="0.4">
      <c r="B289">
        <v>1.8</v>
      </c>
      <c r="C289">
        <v>1.35</v>
      </c>
    </row>
    <row r="290" spans="1:3" x14ac:dyDescent="0.4">
      <c r="B290">
        <v>2.0499999999999998</v>
      </c>
      <c r="C290">
        <v>1.4</v>
      </c>
    </row>
    <row r="291" spans="1:3" x14ac:dyDescent="0.4">
      <c r="B291">
        <f>AVERAGE(B281:B290)</f>
        <v>1.8849999999999998</v>
      </c>
      <c r="C291">
        <f>AVERAGE(C281:C290)</f>
        <v>1.4949999999999999</v>
      </c>
    </row>
    <row r="293" spans="1:3" x14ac:dyDescent="0.4">
      <c r="A293" t="s">
        <v>39</v>
      </c>
      <c r="B293">
        <v>2.1</v>
      </c>
      <c r="C293">
        <v>1.45</v>
      </c>
    </row>
    <row r="294" spans="1:3" x14ac:dyDescent="0.4">
      <c r="B294">
        <v>2.5</v>
      </c>
      <c r="C294">
        <v>1.9</v>
      </c>
    </row>
    <row r="295" spans="1:3" x14ac:dyDescent="0.4">
      <c r="B295">
        <v>2.2999999999999998</v>
      </c>
      <c r="C295">
        <v>1.8</v>
      </c>
    </row>
    <row r="296" spans="1:3" x14ac:dyDescent="0.4">
      <c r="B296">
        <v>2.8</v>
      </c>
      <c r="C296">
        <v>1.9</v>
      </c>
    </row>
    <row r="297" spans="1:3" x14ac:dyDescent="0.4">
      <c r="B297">
        <v>2.2999999999999998</v>
      </c>
      <c r="C297">
        <v>1.9</v>
      </c>
    </row>
    <row r="298" spans="1:3" x14ac:dyDescent="0.4">
      <c r="B298">
        <v>2.2999999999999998</v>
      </c>
      <c r="C298">
        <v>1.9</v>
      </c>
    </row>
    <row r="299" spans="1:3" x14ac:dyDescent="0.4">
      <c r="B299">
        <f>AVERAGE(B293:B298)</f>
        <v>2.3833333333333333</v>
      </c>
      <c r="C299">
        <f>AVERAGE(C293:C298)</f>
        <v>1.8083333333333333</v>
      </c>
    </row>
    <row r="301" spans="1:3" x14ac:dyDescent="0.4">
      <c r="A301" t="s">
        <v>191</v>
      </c>
      <c r="B301">
        <v>2.1</v>
      </c>
      <c r="C301">
        <v>1.6</v>
      </c>
    </row>
    <row r="302" spans="1:3" x14ac:dyDescent="0.4">
      <c r="B302">
        <v>2.15</v>
      </c>
      <c r="C302">
        <v>1.65</v>
      </c>
    </row>
    <row r="303" spans="1:3" x14ac:dyDescent="0.4">
      <c r="B303">
        <v>2.2000000000000002</v>
      </c>
      <c r="C303">
        <v>1.6</v>
      </c>
    </row>
    <row r="304" spans="1:3" x14ac:dyDescent="0.4">
      <c r="B304">
        <v>2</v>
      </c>
      <c r="C304">
        <v>1.5</v>
      </c>
    </row>
    <row r="305" spans="1:3" x14ac:dyDescent="0.4">
      <c r="B305">
        <v>2</v>
      </c>
      <c r="C305">
        <v>1.55</v>
      </c>
    </row>
    <row r="306" spans="1:3" x14ac:dyDescent="0.4">
      <c r="B306">
        <v>2.25</v>
      </c>
      <c r="C306">
        <v>1.7</v>
      </c>
    </row>
    <row r="307" spans="1:3" x14ac:dyDescent="0.4">
      <c r="B307">
        <v>2.2999999999999998</v>
      </c>
      <c r="C307">
        <v>1.6</v>
      </c>
    </row>
    <row r="308" spans="1:3" x14ac:dyDescent="0.4">
      <c r="B308">
        <f>AVERAGE(B301:B307)</f>
        <v>2.1428571428571428</v>
      </c>
      <c r="C308">
        <f>AVERAGE(C301:C307)</f>
        <v>1.5999999999999999</v>
      </c>
    </row>
    <row r="310" spans="1:3" x14ac:dyDescent="0.4">
      <c r="A310" t="s">
        <v>47</v>
      </c>
      <c r="B310">
        <v>1.55</v>
      </c>
      <c r="C310">
        <v>1.75</v>
      </c>
    </row>
    <row r="311" spans="1:3" x14ac:dyDescent="0.4">
      <c r="B311">
        <v>1.45</v>
      </c>
      <c r="C311">
        <v>1.3</v>
      </c>
    </row>
    <row r="312" spans="1:3" x14ac:dyDescent="0.4">
      <c r="B312">
        <v>1.5</v>
      </c>
      <c r="C312">
        <v>1.8</v>
      </c>
    </row>
    <row r="313" spans="1:3" x14ac:dyDescent="0.4">
      <c r="B313">
        <v>1.85</v>
      </c>
      <c r="C313">
        <v>1.9</v>
      </c>
    </row>
    <row r="314" spans="1:3" x14ac:dyDescent="0.4">
      <c r="B314">
        <v>1.55</v>
      </c>
      <c r="C314">
        <v>1.4</v>
      </c>
    </row>
    <row r="315" spans="1:3" x14ac:dyDescent="0.4">
      <c r="B315">
        <v>1.4</v>
      </c>
      <c r="C315">
        <v>1.1499999999999999</v>
      </c>
    </row>
    <row r="316" spans="1:3" x14ac:dyDescent="0.4">
      <c r="B316">
        <v>1.55</v>
      </c>
      <c r="C316">
        <v>1.35</v>
      </c>
    </row>
    <row r="317" spans="1:3" x14ac:dyDescent="0.4">
      <c r="B317">
        <v>1.65</v>
      </c>
      <c r="C317">
        <v>1.2</v>
      </c>
    </row>
    <row r="318" spans="1:3" x14ac:dyDescent="0.4">
      <c r="B318">
        <v>1.55</v>
      </c>
      <c r="C318">
        <v>1.3</v>
      </c>
    </row>
    <row r="319" spans="1:3" x14ac:dyDescent="0.4">
      <c r="B319">
        <v>1.9</v>
      </c>
      <c r="C319">
        <v>1.35</v>
      </c>
    </row>
    <row r="320" spans="1:3" x14ac:dyDescent="0.4">
      <c r="B320">
        <v>1.65</v>
      </c>
      <c r="C320">
        <v>1.4</v>
      </c>
    </row>
    <row r="321" spans="1:3" x14ac:dyDescent="0.4">
      <c r="B321">
        <v>1.7</v>
      </c>
      <c r="C321">
        <v>1.35</v>
      </c>
    </row>
    <row r="322" spans="1:3" x14ac:dyDescent="0.4">
      <c r="B322">
        <v>1.95</v>
      </c>
      <c r="C322">
        <v>1.25</v>
      </c>
    </row>
    <row r="323" spans="1:3" x14ac:dyDescent="0.4">
      <c r="B323">
        <v>1.5</v>
      </c>
      <c r="C323">
        <v>1.4</v>
      </c>
    </row>
    <row r="324" spans="1:3" x14ac:dyDescent="0.4">
      <c r="B324">
        <v>1.7</v>
      </c>
      <c r="C324">
        <v>1.4</v>
      </c>
    </row>
    <row r="325" spans="1:3" x14ac:dyDescent="0.4">
      <c r="B325">
        <v>1.95</v>
      </c>
      <c r="C325">
        <v>1.4</v>
      </c>
    </row>
    <row r="326" spans="1:3" x14ac:dyDescent="0.4">
      <c r="B326">
        <v>1.8</v>
      </c>
      <c r="C326">
        <v>1.9</v>
      </c>
    </row>
    <row r="327" spans="1:3" x14ac:dyDescent="0.4">
      <c r="B327">
        <v>1.6</v>
      </c>
      <c r="C327">
        <v>1.3</v>
      </c>
    </row>
    <row r="328" spans="1:3" x14ac:dyDescent="0.4">
      <c r="B328">
        <v>1.2</v>
      </c>
      <c r="C328">
        <v>1.2</v>
      </c>
    </row>
    <row r="329" spans="1:3" x14ac:dyDescent="0.4">
      <c r="B329">
        <v>1.4</v>
      </c>
      <c r="C329">
        <v>1.3</v>
      </c>
    </row>
    <row r="330" spans="1:3" x14ac:dyDescent="0.4">
      <c r="B330">
        <v>1.5</v>
      </c>
      <c r="C330">
        <v>1.25</v>
      </c>
    </row>
    <row r="331" spans="1:3" x14ac:dyDescent="0.4">
      <c r="B331">
        <f>AVERAGE(B310:B330)</f>
        <v>1.6142857142857143</v>
      </c>
      <c r="C331">
        <f>AVERAGE(C310:C330)</f>
        <v>1.4119047619047618</v>
      </c>
    </row>
    <row r="333" spans="1:3" x14ac:dyDescent="0.4">
      <c r="A333" t="s">
        <v>49</v>
      </c>
      <c r="B333">
        <v>2.75</v>
      </c>
      <c r="C333">
        <v>1.7</v>
      </c>
    </row>
    <row r="334" spans="1:3" x14ac:dyDescent="0.4">
      <c r="B334">
        <v>2.4</v>
      </c>
      <c r="C334">
        <v>1.4</v>
      </c>
    </row>
    <row r="335" spans="1:3" x14ac:dyDescent="0.4">
      <c r="B335">
        <v>2.75</v>
      </c>
      <c r="C335">
        <v>1.6</v>
      </c>
    </row>
    <row r="336" spans="1:3" x14ac:dyDescent="0.4">
      <c r="B336">
        <v>2.5</v>
      </c>
      <c r="C336">
        <v>1.3</v>
      </c>
    </row>
    <row r="337" spans="1:3" x14ac:dyDescent="0.4">
      <c r="B337">
        <v>2.2999999999999998</v>
      </c>
      <c r="C337">
        <v>1.45</v>
      </c>
    </row>
    <row r="338" spans="1:3" x14ac:dyDescent="0.4">
      <c r="B338">
        <v>2.5499999999999998</v>
      </c>
      <c r="C338">
        <v>1.45</v>
      </c>
    </row>
    <row r="339" spans="1:3" x14ac:dyDescent="0.4">
      <c r="B339">
        <v>2.6</v>
      </c>
      <c r="C339">
        <v>1.9</v>
      </c>
    </row>
    <row r="340" spans="1:3" x14ac:dyDescent="0.4">
      <c r="B340">
        <v>2.1</v>
      </c>
      <c r="C340">
        <v>1.4</v>
      </c>
    </row>
    <row r="341" spans="1:3" x14ac:dyDescent="0.4">
      <c r="B341">
        <v>2.2999999999999998</v>
      </c>
      <c r="C341">
        <v>1.9</v>
      </c>
    </row>
    <row r="342" spans="1:3" x14ac:dyDescent="0.4">
      <c r="B342">
        <v>2</v>
      </c>
      <c r="C342">
        <v>1.4</v>
      </c>
    </row>
    <row r="343" spans="1:3" x14ac:dyDescent="0.4">
      <c r="B343">
        <v>2.4500000000000002</v>
      </c>
      <c r="C343">
        <v>1.9</v>
      </c>
    </row>
    <row r="344" spans="1:3" x14ac:dyDescent="0.4">
      <c r="B344">
        <f>AVERAGE(B333:B343)</f>
        <v>2.4272727272727277</v>
      </c>
      <c r="C344">
        <f>AVERAGE(C333:C343)</f>
        <v>1.5818181818181818</v>
      </c>
    </row>
    <row r="346" spans="1:3" x14ac:dyDescent="0.4">
      <c r="A346" t="s">
        <v>36</v>
      </c>
      <c r="B346">
        <v>2.6</v>
      </c>
      <c r="C346">
        <v>2.15</v>
      </c>
    </row>
    <row r="347" spans="1:3" x14ac:dyDescent="0.4">
      <c r="B347">
        <v>1.7</v>
      </c>
      <c r="C347">
        <v>1.9</v>
      </c>
    </row>
    <row r="348" spans="1:3" x14ac:dyDescent="0.4">
      <c r="B348">
        <v>2.5499999999999998</v>
      </c>
      <c r="C348">
        <v>2.2000000000000002</v>
      </c>
    </row>
    <row r="349" spans="1:3" x14ac:dyDescent="0.4">
      <c r="B349">
        <v>2.4</v>
      </c>
      <c r="C349">
        <v>2.25</v>
      </c>
    </row>
    <row r="350" spans="1:3" x14ac:dyDescent="0.4">
      <c r="B350">
        <v>2.0499999999999998</v>
      </c>
      <c r="C350">
        <v>2</v>
      </c>
    </row>
    <row r="351" spans="1:3" x14ac:dyDescent="0.4">
      <c r="B351">
        <v>2.35</v>
      </c>
      <c r="C351">
        <v>2.2999999999999998</v>
      </c>
    </row>
    <row r="352" spans="1:3" x14ac:dyDescent="0.4">
      <c r="B352">
        <v>2.2000000000000002</v>
      </c>
      <c r="C352">
        <v>2.1</v>
      </c>
    </row>
    <row r="353" spans="1:3" x14ac:dyDescent="0.4">
      <c r="B353">
        <v>2.2999999999999998</v>
      </c>
      <c r="C353">
        <v>2</v>
      </c>
    </row>
    <row r="354" spans="1:3" x14ac:dyDescent="0.4">
      <c r="B354">
        <v>2.5</v>
      </c>
      <c r="C354">
        <v>1.8</v>
      </c>
    </row>
    <row r="355" spans="1:3" x14ac:dyDescent="0.4">
      <c r="B355">
        <v>2.5</v>
      </c>
      <c r="C355">
        <v>2.2000000000000002</v>
      </c>
    </row>
    <row r="356" spans="1:3" x14ac:dyDescent="0.4">
      <c r="B356">
        <f>AVERAGE(B346:B355)</f>
        <v>2.3150000000000004</v>
      </c>
      <c r="C356">
        <f>AVERAGE(C346:C355)</f>
        <v>2.09</v>
      </c>
    </row>
    <row r="358" spans="1:3" x14ac:dyDescent="0.4">
      <c r="A358" t="s">
        <v>48</v>
      </c>
      <c r="B358">
        <v>1.9</v>
      </c>
      <c r="C358">
        <v>1.45</v>
      </c>
    </row>
    <row r="359" spans="1:3" x14ac:dyDescent="0.4">
      <c r="B359">
        <v>2.2000000000000002</v>
      </c>
      <c r="C359">
        <v>1.5</v>
      </c>
    </row>
    <row r="360" spans="1:3" x14ac:dyDescent="0.4">
      <c r="B360">
        <v>2.6</v>
      </c>
      <c r="C360">
        <v>1.7</v>
      </c>
    </row>
    <row r="361" spans="1:3" x14ac:dyDescent="0.4">
      <c r="B361">
        <v>2.4500000000000002</v>
      </c>
      <c r="C361">
        <v>1.6</v>
      </c>
    </row>
    <row r="362" spans="1:3" x14ac:dyDescent="0.4">
      <c r="B362">
        <v>2.2000000000000002</v>
      </c>
      <c r="C362">
        <v>1.6</v>
      </c>
    </row>
    <row r="363" spans="1:3" x14ac:dyDescent="0.4">
      <c r="B363">
        <f>AVERAGE(B358:B362)</f>
        <v>2.2699999999999996</v>
      </c>
      <c r="C363">
        <f>AVERAGE(C358:C362)</f>
        <v>1.5699999999999998</v>
      </c>
    </row>
    <row r="365" spans="1:3" x14ac:dyDescent="0.4">
      <c r="A365" t="s">
        <v>50</v>
      </c>
      <c r="B365">
        <v>1.3</v>
      </c>
      <c r="C365">
        <v>1.55</v>
      </c>
    </row>
    <row r="366" spans="1:3" x14ac:dyDescent="0.4">
      <c r="B366">
        <v>1.55</v>
      </c>
      <c r="C366">
        <v>1.5</v>
      </c>
    </row>
    <row r="367" spans="1:3" x14ac:dyDescent="0.4">
      <c r="B367">
        <v>1.7</v>
      </c>
      <c r="C367">
        <v>1.4</v>
      </c>
    </row>
    <row r="368" spans="1:3" x14ac:dyDescent="0.4">
      <c r="B368">
        <v>1.35</v>
      </c>
      <c r="C368">
        <v>1.45</v>
      </c>
    </row>
    <row r="369" spans="1:3" x14ac:dyDescent="0.4">
      <c r="B369">
        <v>1.55</v>
      </c>
      <c r="C369">
        <v>1.4</v>
      </c>
    </row>
    <row r="370" spans="1:3" x14ac:dyDescent="0.4">
      <c r="B370">
        <v>1.5</v>
      </c>
      <c r="C370">
        <v>1.5</v>
      </c>
    </row>
    <row r="371" spans="1:3" x14ac:dyDescent="0.4">
      <c r="B371">
        <v>1.4</v>
      </c>
      <c r="C371">
        <v>1.35</v>
      </c>
    </row>
    <row r="372" spans="1:3" x14ac:dyDescent="0.4">
      <c r="B372">
        <f>AVERAGE(B365:B371)</f>
        <v>1.4785714285714284</v>
      </c>
      <c r="C372">
        <f>AVERAGE(C365:C371)</f>
        <v>1.4499999999999997</v>
      </c>
    </row>
    <row r="374" spans="1:3" x14ac:dyDescent="0.4">
      <c r="A374" t="s">
        <v>51</v>
      </c>
      <c r="B374">
        <v>2.4</v>
      </c>
      <c r="C374">
        <v>1.4</v>
      </c>
    </row>
    <row r="375" spans="1:3" x14ac:dyDescent="0.4">
      <c r="B375">
        <v>2.7</v>
      </c>
      <c r="C375">
        <v>1.4</v>
      </c>
    </row>
    <row r="376" spans="1:3" x14ac:dyDescent="0.4">
      <c r="B376">
        <v>2.1</v>
      </c>
      <c r="C376">
        <v>1.2</v>
      </c>
    </row>
    <row r="377" spans="1:3" x14ac:dyDescent="0.4">
      <c r="B377">
        <v>2.4</v>
      </c>
      <c r="C377">
        <v>1.3</v>
      </c>
    </row>
    <row r="378" spans="1:3" x14ac:dyDescent="0.4">
      <c r="B378">
        <v>2.4</v>
      </c>
      <c r="C378">
        <v>1.35</v>
      </c>
    </row>
    <row r="379" spans="1:3" x14ac:dyDescent="0.4">
      <c r="B379">
        <v>2.2999999999999998</v>
      </c>
      <c r="C379">
        <v>1.35</v>
      </c>
    </row>
    <row r="380" spans="1:3" x14ac:dyDescent="0.4">
      <c r="B380">
        <v>2.5</v>
      </c>
      <c r="C380">
        <v>1.4</v>
      </c>
    </row>
    <row r="381" spans="1:3" x14ac:dyDescent="0.4">
      <c r="B381">
        <v>2.15</v>
      </c>
      <c r="C381">
        <v>2.4</v>
      </c>
    </row>
    <row r="382" spans="1:3" x14ac:dyDescent="0.4">
      <c r="B382">
        <v>2.1</v>
      </c>
      <c r="C382">
        <v>1.3</v>
      </c>
    </row>
    <row r="383" spans="1:3" x14ac:dyDescent="0.4">
      <c r="B383">
        <v>2.1</v>
      </c>
      <c r="C383">
        <v>1.2</v>
      </c>
    </row>
    <row r="384" spans="1:3" x14ac:dyDescent="0.4">
      <c r="B384">
        <v>2.35</v>
      </c>
      <c r="C384">
        <v>1.2</v>
      </c>
    </row>
    <row r="385" spans="1:3" x14ac:dyDescent="0.4">
      <c r="B385">
        <v>1.9</v>
      </c>
      <c r="C385">
        <v>1.3</v>
      </c>
    </row>
    <row r="386" spans="1:3" x14ac:dyDescent="0.4">
      <c r="B386">
        <f>AVERAGE(B374:B385)</f>
        <v>2.2833333333333337</v>
      </c>
      <c r="C386">
        <f>AVERAGE(C374:C385)</f>
        <v>1.4000000000000001</v>
      </c>
    </row>
    <row r="388" spans="1:3" x14ac:dyDescent="0.4">
      <c r="A388" t="s">
        <v>45</v>
      </c>
      <c r="B388">
        <v>2.0499999999999998</v>
      </c>
      <c r="C388">
        <v>1.5</v>
      </c>
    </row>
    <row r="389" spans="1:3" x14ac:dyDescent="0.4">
      <c r="B389">
        <v>1.7</v>
      </c>
      <c r="C389">
        <v>1.7</v>
      </c>
    </row>
    <row r="390" spans="1:3" x14ac:dyDescent="0.4">
      <c r="B390">
        <v>2</v>
      </c>
      <c r="C390">
        <v>2.5</v>
      </c>
    </row>
    <row r="391" spans="1:3" x14ac:dyDescent="0.4">
      <c r="B391">
        <v>1.9</v>
      </c>
      <c r="C391">
        <v>1.6</v>
      </c>
    </row>
    <row r="392" spans="1:3" x14ac:dyDescent="0.4">
      <c r="B392">
        <v>2</v>
      </c>
      <c r="C392">
        <v>1.5</v>
      </c>
    </row>
    <row r="393" spans="1:3" x14ac:dyDescent="0.4">
      <c r="B393">
        <f>AVERAGE(B388:B392)</f>
        <v>1.9300000000000002</v>
      </c>
      <c r="C393">
        <f>AVERAGE(C388:C392)</f>
        <v>1.7600000000000002</v>
      </c>
    </row>
    <row r="396" spans="1:3" x14ac:dyDescent="0.4">
      <c r="A396" t="s">
        <v>43</v>
      </c>
      <c r="B396">
        <v>1.8</v>
      </c>
      <c r="C396">
        <v>1.5</v>
      </c>
    </row>
    <row r="397" spans="1:3" x14ac:dyDescent="0.4">
      <c r="B397">
        <v>1.8</v>
      </c>
      <c r="C397">
        <v>1.4</v>
      </c>
    </row>
    <row r="398" spans="1:3" x14ac:dyDescent="0.4">
      <c r="B398">
        <v>2</v>
      </c>
      <c r="C398">
        <v>1.4</v>
      </c>
    </row>
    <row r="399" spans="1:3" x14ac:dyDescent="0.4">
      <c r="B399">
        <v>2</v>
      </c>
      <c r="C399">
        <v>1.4</v>
      </c>
    </row>
    <row r="400" spans="1:3" x14ac:dyDescent="0.4">
      <c r="B400">
        <v>1.9</v>
      </c>
      <c r="C400">
        <v>1.4</v>
      </c>
    </row>
    <row r="401" spans="1:3" x14ac:dyDescent="0.4">
      <c r="B401">
        <v>1.75</v>
      </c>
      <c r="C401">
        <v>1.45</v>
      </c>
    </row>
    <row r="402" spans="1:3" x14ac:dyDescent="0.4">
      <c r="B402">
        <v>1.8</v>
      </c>
      <c r="C402">
        <v>1.5</v>
      </c>
    </row>
    <row r="403" spans="1:3" x14ac:dyDescent="0.4">
      <c r="B403">
        <v>1.8</v>
      </c>
      <c r="C403">
        <v>1.4</v>
      </c>
    </row>
    <row r="404" spans="1:3" x14ac:dyDescent="0.4">
      <c r="B404">
        <v>1.9</v>
      </c>
      <c r="C404">
        <v>1.5</v>
      </c>
    </row>
    <row r="405" spans="1:3" x14ac:dyDescent="0.4">
      <c r="B405">
        <v>1.7</v>
      </c>
      <c r="C405">
        <v>1.45</v>
      </c>
    </row>
    <row r="406" spans="1:3" x14ac:dyDescent="0.4">
      <c r="B406">
        <f>AVERAGE(B396:B405)</f>
        <v>1.845</v>
      </c>
      <c r="C406">
        <f>AVERAGE(C396:C405)</f>
        <v>1.44</v>
      </c>
    </row>
    <row r="408" spans="1:3" x14ac:dyDescent="0.4">
      <c r="A408" t="s">
        <v>52</v>
      </c>
      <c r="B408">
        <v>2.5</v>
      </c>
      <c r="C408">
        <v>2</v>
      </c>
    </row>
    <row r="409" spans="1:3" x14ac:dyDescent="0.4">
      <c r="B409">
        <v>2.6</v>
      </c>
      <c r="C409">
        <v>2.0499999999999998</v>
      </c>
    </row>
    <row r="410" spans="1:3" x14ac:dyDescent="0.4">
      <c r="B410">
        <v>2</v>
      </c>
      <c r="C410">
        <v>1.8</v>
      </c>
    </row>
    <row r="411" spans="1:3" x14ac:dyDescent="0.4">
      <c r="B411">
        <v>1.35</v>
      </c>
      <c r="C411">
        <v>2</v>
      </c>
    </row>
    <row r="412" spans="1:3" x14ac:dyDescent="0.4">
      <c r="B412">
        <v>1.7</v>
      </c>
      <c r="C412">
        <v>1.8</v>
      </c>
    </row>
    <row r="413" spans="1:3" x14ac:dyDescent="0.4">
      <c r="B413">
        <f>AVERAGE(B408:B412)</f>
        <v>2.0299999999999998</v>
      </c>
      <c r="C413">
        <f>AVERAGE(C408:C412)</f>
        <v>1.9300000000000002</v>
      </c>
    </row>
    <row r="415" spans="1:3" x14ac:dyDescent="0.4">
      <c r="A415" t="s">
        <v>54</v>
      </c>
      <c r="B415">
        <v>3.9</v>
      </c>
      <c r="C415">
        <v>4.5999999999999996</v>
      </c>
    </row>
    <row r="416" spans="1:3" x14ac:dyDescent="0.4">
      <c r="B416">
        <v>2.7</v>
      </c>
      <c r="C416">
        <v>2.8</v>
      </c>
    </row>
    <row r="417" spans="1:3" x14ac:dyDescent="0.4">
      <c r="B417">
        <v>2.5</v>
      </c>
      <c r="C417">
        <v>2.7</v>
      </c>
    </row>
    <row r="418" spans="1:3" x14ac:dyDescent="0.4">
      <c r="B418">
        <v>2.2000000000000002</v>
      </c>
      <c r="C418">
        <v>2.2999999999999998</v>
      </c>
    </row>
    <row r="419" spans="1:3" x14ac:dyDescent="0.4">
      <c r="B419">
        <v>2.6</v>
      </c>
      <c r="C419">
        <v>2.2999999999999998</v>
      </c>
    </row>
    <row r="420" spans="1:3" x14ac:dyDescent="0.4">
      <c r="B420">
        <v>2.4</v>
      </c>
      <c r="C420">
        <v>2.2000000000000002</v>
      </c>
    </row>
    <row r="421" spans="1:3" x14ac:dyDescent="0.4">
      <c r="B421">
        <v>2.5</v>
      </c>
      <c r="C421">
        <v>2.1</v>
      </c>
    </row>
    <row r="422" spans="1:3" x14ac:dyDescent="0.4">
      <c r="B422">
        <f>AVERAGE(B415:B421)</f>
        <v>2.6857142857142859</v>
      </c>
      <c r="C422">
        <f>AVERAGE(C415:C421)</f>
        <v>2.7142857142857144</v>
      </c>
    </row>
    <row r="424" spans="1:3" x14ac:dyDescent="0.4">
      <c r="A424" t="s">
        <v>53</v>
      </c>
      <c r="B424">
        <v>2.2000000000000002</v>
      </c>
      <c r="C424">
        <v>1.8</v>
      </c>
    </row>
    <row r="425" spans="1:3" x14ac:dyDescent="0.4">
      <c r="B425">
        <v>1.9</v>
      </c>
      <c r="C425">
        <v>1.85</v>
      </c>
    </row>
    <row r="426" spans="1:3" x14ac:dyDescent="0.4">
      <c r="B426">
        <v>2</v>
      </c>
      <c r="C426">
        <v>2.25</v>
      </c>
    </row>
    <row r="427" spans="1:3" x14ac:dyDescent="0.4">
      <c r="B427">
        <v>2.2000000000000002</v>
      </c>
      <c r="C427">
        <v>1.75</v>
      </c>
    </row>
    <row r="428" spans="1:3" x14ac:dyDescent="0.4">
      <c r="B428">
        <v>2.5</v>
      </c>
      <c r="C428">
        <v>1.95</v>
      </c>
    </row>
    <row r="429" spans="1:3" x14ac:dyDescent="0.4">
      <c r="B429">
        <f>AVERAGE(B424:B428)</f>
        <v>2.16</v>
      </c>
      <c r="C429">
        <f>AVERAGE(C424:C428)</f>
        <v>1.92</v>
      </c>
    </row>
    <row r="431" spans="1:3" x14ac:dyDescent="0.4">
      <c r="A431" t="s">
        <v>42</v>
      </c>
      <c r="B431">
        <v>2.2000000000000002</v>
      </c>
      <c r="C431">
        <v>1.9</v>
      </c>
    </row>
    <row r="432" spans="1:3" x14ac:dyDescent="0.4">
      <c r="B432">
        <v>2.2999999999999998</v>
      </c>
      <c r="C432">
        <v>1.95</v>
      </c>
    </row>
    <row r="433" spans="1:3" x14ac:dyDescent="0.4">
      <c r="B433">
        <v>3.3</v>
      </c>
      <c r="C433">
        <v>2</v>
      </c>
    </row>
    <row r="434" spans="1:3" x14ac:dyDescent="0.4">
      <c r="B434">
        <v>2.2000000000000002</v>
      </c>
      <c r="C434">
        <v>1.9</v>
      </c>
    </row>
    <row r="435" spans="1:3" x14ac:dyDescent="0.4">
      <c r="B435">
        <f>AVERAGE(B431:B434)</f>
        <v>2.5</v>
      </c>
      <c r="C435">
        <f>AVERAGE(C431:C434)</f>
        <v>1.9375</v>
      </c>
    </row>
    <row r="437" spans="1:3" x14ac:dyDescent="0.4">
      <c r="A437" t="s">
        <v>39</v>
      </c>
      <c r="B437">
        <v>2.7</v>
      </c>
      <c r="C437">
        <v>1.9</v>
      </c>
    </row>
    <row r="438" spans="1:3" x14ac:dyDescent="0.4">
      <c r="B438">
        <v>2.2000000000000002</v>
      </c>
      <c r="C438">
        <v>2</v>
      </c>
    </row>
    <row r="439" spans="1:3" x14ac:dyDescent="0.4">
      <c r="B439">
        <v>2.5</v>
      </c>
      <c r="C439">
        <v>2</v>
      </c>
    </row>
    <row r="440" spans="1:3" x14ac:dyDescent="0.4">
      <c r="B440">
        <v>2.2999999999999998</v>
      </c>
      <c r="C440">
        <v>1.9</v>
      </c>
    </row>
    <row r="441" spans="1:3" x14ac:dyDescent="0.4">
      <c r="B441">
        <v>2.2999999999999998</v>
      </c>
      <c r="C441">
        <v>2</v>
      </c>
    </row>
    <row r="442" spans="1:3" x14ac:dyDescent="0.4">
      <c r="B442">
        <v>2.2000000000000002</v>
      </c>
      <c r="C442">
        <v>1.85</v>
      </c>
    </row>
    <row r="443" spans="1:3" x14ac:dyDescent="0.4">
      <c r="B443">
        <f>AVERAGE(B437:B442)</f>
        <v>2.3666666666666667</v>
      </c>
      <c r="C443">
        <f>AVERAGE(C437:C442)</f>
        <v>1.9416666666666667</v>
      </c>
    </row>
    <row r="445" spans="1:3" x14ac:dyDescent="0.4">
      <c r="A445" t="s">
        <v>51</v>
      </c>
      <c r="B445">
        <v>2.4500000000000002</v>
      </c>
      <c r="C445">
        <v>1.7</v>
      </c>
    </row>
    <row r="446" spans="1:3" x14ac:dyDescent="0.4">
      <c r="B446">
        <v>2.2999999999999998</v>
      </c>
      <c r="C446">
        <v>1.9</v>
      </c>
    </row>
    <row r="447" spans="1:3" x14ac:dyDescent="0.4">
      <c r="B447">
        <v>2.2000000000000002</v>
      </c>
      <c r="C447">
        <v>1.9</v>
      </c>
    </row>
    <row r="448" spans="1:3" x14ac:dyDescent="0.4">
      <c r="B448">
        <v>2</v>
      </c>
      <c r="C448">
        <v>1.3</v>
      </c>
    </row>
    <row r="449" spans="1:3" x14ac:dyDescent="0.4">
      <c r="B449">
        <v>2.1</v>
      </c>
      <c r="C449">
        <v>1.65</v>
      </c>
    </row>
    <row r="450" spans="1:3" x14ac:dyDescent="0.4">
      <c r="B450">
        <v>2.4</v>
      </c>
      <c r="C450">
        <v>1.5</v>
      </c>
    </row>
    <row r="451" spans="1:3" x14ac:dyDescent="0.4">
      <c r="B451">
        <v>2.35</v>
      </c>
      <c r="C451">
        <v>2</v>
      </c>
    </row>
    <row r="452" spans="1:3" x14ac:dyDescent="0.4">
      <c r="B452">
        <v>2.7</v>
      </c>
      <c r="C452">
        <v>2</v>
      </c>
    </row>
    <row r="453" spans="1:3" x14ac:dyDescent="0.4">
      <c r="B453">
        <v>2.2000000000000002</v>
      </c>
      <c r="C453">
        <v>1.7</v>
      </c>
    </row>
    <row r="454" spans="1:3" x14ac:dyDescent="0.4">
      <c r="B454">
        <v>2.5</v>
      </c>
      <c r="C454">
        <v>1.5</v>
      </c>
    </row>
    <row r="455" spans="1:3" x14ac:dyDescent="0.4">
      <c r="B455">
        <v>2.4</v>
      </c>
      <c r="C455">
        <v>1.8</v>
      </c>
    </row>
    <row r="456" spans="1:3" x14ac:dyDescent="0.4">
      <c r="B456">
        <f>AVERAGE(B445:B455)</f>
        <v>2.3272727272727272</v>
      </c>
      <c r="C456">
        <f>AVERAGE(C445:C455)</f>
        <v>1.7227272727272727</v>
      </c>
    </row>
    <row r="458" spans="1:3" x14ac:dyDescent="0.4">
      <c r="A458" t="s">
        <v>49</v>
      </c>
      <c r="B458">
        <v>2.4</v>
      </c>
      <c r="C458">
        <v>1.9</v>
      </c>
    </row>
    <row r="459" spans="1:3" x14ac:dyDescent="0.4">
      <c r="B459">
        <v>1.9</v>
      </c>
      <c r="C459">
        <v>1.8</v>
      </c>
    </row>
    <row r="460" spans="1:3" x14ac:dyDescent="0.4">
      <c r="B460">
        <v>2.5</v>
      </c>
      <c r="C460">
        <v>1.9</v>
      </c>
    </row>
    <row r="461" spans="1:3" x14ac:dyDescent="0.4">
      <c r="B461">
        <v>2.4</v>
      </c>
      <c r="C461">
        <v>1.85</v>
      </c>
    </row>
    <row r="462" spans="1:3" x14ac:dyDescent="0.4">
      <c r="B462">
        <v>2.5499999999999998</v>
      </c>
      <c r="C462">
        <v>1.6</v>
      </c>
    </row>
    <row r="463" spans="1:3" x14ac:dyDescent="0.4">
      <c r="B463">
        <v>1.85</v>
      </c>
      <c r="C463">
        <v>1.45</v>
      </c>
    </row>
    <row r="464" spans="1:3" x14ac:dyDescent="0.4">
      <c r="B464">
        <v>2.5</v>
      </c>
      <c r="C464">
        <v>1.5</v>
      </c>
    </row>
    <row r="465" spans="1:3" x14ac:dyDescent="0.4">
      <c r="B465">
        <v>2.4</v>
      </c>
      <c r="C465">
        <v>1.4</v>
      </c>
    </row>
    <row r="466" spans="1:3" x14ac:dyDescent="0.4">
      <c r="B466">
        <v>2.2000000000000002</v>
      </c>
      <c r="C466">
        <v>1.5</v>
      </c>
    </row>
    <row r="467" spans="1:3" x14ac:dyDescent="0.4">
      <c r="B467">
        <v>2.6</v>
      </c>
      <c r="C467">
        <v>1.75</v>
      </c>
    </row>
    <row r="468" spans="1:3" x14ac:dyDescent="0.4">
      <c r="B468">
        <v>2.6</v>
      </c>
      <c r="C468">
        <v>1.6</v>
      </c>
    </row>
    <row r="469" spans="1:3" x14ac:dyDescent="0.4">
      <c r="B469">
        <f>AVERAGE(B458:B468)</f>
        <v>2.3545454545454549</v>
      </c>
      <c r="C469">
        <f>AVERAGE(C458:C468)</f>
        <v>1.6590909090909092</v>
      </c>
    </row>
    <row r="471" spans="1:3" x14ac:dyDescent="0.4">
      <c r="A471" t="s">
        <v>47</v>
      </c>
      <c r="B471">
        <v>1.6</v>
      </c>
      <c r="C471">
        <v>1.2</v>
      </c>
    </row>
    <row r="472" spans="1:3" x14ac:dyDescent="0.4">
      <c r="B472">
        <v>1.4</v>
      </c>
      <c r="C472">
        <v>1.1000000000000001</v>
      </c>
    </row>
    <row r="473" spans="1:3" x14ac:dyDescent="0.4">
      <c r="B473">
        <v>1.5</v>
      </c>
      <c r="C473">
        <v>1.25</v>
      </c>
    </row>
    <row r="474" spans="1:3" x14ac:dyDescent="0.4">
      <c r="B474">
        <v>1.8</v>
      </c>
      <c r="C474">
        <v>1.9</v>
      </c>
    </row>
    <row r="475" spans="1:3" x14ac:dyDescent="0.4">
      <c r="B475">
        <v>1.9</v>
      </c>
      <c r="C475">
        <v>1.3</v>
      </c>
    </row>
    <row r="476" spans="1:3" x14ac:dyDescent="0.4">
      <c r="B476">
        <v>1.5</v>
      </c>
      <c r="C476">
        <v>1.4</v>
      </c>
    </row>
    <row r="477" spans="1:3" x14ac:dyDescent="0.4">
      <c r="B477">
        <v>1.5</v>
      </c>
      <c r="C477">
        <v>1.35</v>
      </c>
    </row>
    <row r="478" spans="1:3" x14ac:dyDescent="0.4">
      <c r="B478">
        <v>1.2</v>
      </c>
      <c r="C478">
        <v>1.1499999999999999</v>
      </c>
    </row>
    <row r="479" spans="1:3" x14ac:dyDescent="0.4">
      <c r="B479">
        <v>1.9</v>
      </c>
      <c r="C479">
        <v>1.3</v>
      </c>
    </row>
    <row r="480" spans="1:3" x14ac:dyDescent="0.4">
      <c r="B480">
        <v>1.85</v>
      </c>
      <c r="C480">
        <v>1.45</v>
      </c>
    </row>
    <row r="481" spans="1:3" x14ac:dyDescent="0.4">
      <c r="B481">
        <v>2.5</v>
      </c>
      <c r="C481">
        <v>2.4</v>
      </c>
    </row>
    <row r="482" spans="1:3" x14ac:dyDescent="0.4">
      <c r="B482">
        <v>1.65</v>
      </c>
      <c r="C482">
        <v>1.4</v>
      </c>
    </row>
    <row r="483" spans="1:3" x14ac:dyDescent="0.4">
      <c r="B483">
        <v>1.8</v>
      </c>
      <c r="C483">
        <v>1.4</v>
      </c>
    </row>
    <row r="484" spans="1:3" x14ac:dyDescent="0.4">
      <c r="B484">
        <v>1.6</v>
      </c>
      <c r="C484">
        <v>1.4</v>
      </c>
    </row>
    <row r="485" spans="1:3" x14ac:dyDescent="0.4">
      <c r="B485">
        <v>1.7</v>
      </c>
      <c r="C485">
        <v>1.3</v>
      </c>
    </row>
    <row r="486" spans="1:3" x14ac:dyDescent="0.4">
      <c r="B486">
        <v>1.5</v>
      </c>
      <c r="C486">
        <v>1.3</v>
      </c>
    </row>
    <row r="487" spans="1:3" x14ac:dyDescent="0.4">
      <c r="B487">
        <v>1.5</v>
      </c>
      <c r="C487">
        <v>1.4</v>
      </c>
    </row>
    <row r="488" spans="1:3" x14ac:dyDescent="0.4">
      <c r="B488">
        <v>1.45</v>
      </c>
      <c r="C488">
        <v>1.1000000000000001</v>
      </c>
    </row>
    <row r="489" spans="1:3" x14ac:dyDescent="0.4">
      <c r="B489">
        <v>1.7</v>
      </c>
      <c r="C489">
        <v>1.3</v>
      </c>
    </row>
    <row r="490" spans="1:3" x14ac:dyDescent="0.4">
      <c r="B490">
        <v>1.9</v>
      </c>
      <c r="C490">
        <v>1.3</v>
      </c>
    </row>
    <row r="491" spans="1:3" x14ac:dyDescent="0.4">
      <c r="B491">
        <v>1.3</v>
      </c>
      <c r="C491">
        <v>1.4</v>
      </c>
    </row>
    <row r="492" spans="1:3" x14ac:dyDescent="0.4">
      <c r="B492">
        <f ca="1">AVERAGE(B471:B492)</f>
        <v>1.6547619047619044</v>
      </c>
      <c r="C492">
        <f ca="1">AVERAGE(C471:C492)</f>
        <v>1.3857142857142857</v>
      </c>
    </row>
    <row r="494" spans="1:3" x14ac:dyDescent="0.4">
      <c r="A494" t="s">
        <v>35</v>
      </c>
      <c r="B494">
        <v>2.4</v>
      </c>
      <c r="C494">
        <v>2.1</v>
      </c>
    </row>
    <row r="495" spans="1:3" x14ac:dyDescent="0.4">
      <c r="B495">
        <v>2</v>
      </c>
      <c r="C495">
        <v>1.85</v>
      </c>
    </row>
    <row r="496" spans="1:3" x14ac:dyDescent="0.4">
      <c r="B496">
        <v>2.1</v>
      </c>
      <c r="C496">
        <v>1.6</v>
      </c>
    </row>
    <row r="497" spans="1:3" x14ac:dyDescent="0.4">
      <c r="B497">
        <v>2.65</v>
      </c>
      <c r="C497">
        <v>2</v>
      </c>
    </row>
    <row r="498" spans="1:3" x14ac:dyDescent="0.4">
      <c r="B498">
        <v>2</v>
      </c>
      <c r="C498">
        <v>1.9</v>
      </c>
    </row>
    <row r="499" spans="1:3" x14ac:dyDescent="0.4">
      <c r="B499">
        <v>2</v>
      </c>
      <c r="C499">
        <v>1.9</v>
      </c>
    </row>
    <row r="500" spans="1:3" x14ac:dyDescent="0.4">
      <c r="B500">
        <v>2.4</v>
      </c>
      <c r="C500">
        <v>1.8</v>
      </c>
    </row>
    <row r="501" spans="1:3" x14ac:dyDescent="0.4">
      <c r="B501">
        <f>AVERAGE(B494:B500)</f>
        <v>2.2214285714285715</v>
      </c>
      <c r="C501">
        <f>AVERAGE(C494:C500)</f>
        <v>1.8785714285714288</v>
      </c>
    </row>
    <row r="503" spans="1:3" x14ac:dyDescent="0.4">
      <c r="A503" t="s">
        <v>192</v>
      </c>
      <c r="B503">
        <v>2.5</v>
      </c>
      <c r="C503">
        <v>2.2000000000000002</v>
      </c>
    </row>
    <row r="504" spans="1:3" x14ac:dyDescent="0.4">
      <c r="B504">
        <v>2.4</v>
      </c>
      <c r="C504">
        <v>1.9</v>
      </c>
    </row>
    <row r="505" spans="1:3" x14ac:dyDescent="0.4">
      <c r="B505">
        <v>2.5</v>
      </c>
      <c r="C505">
        <v>2.1</v>
      </c>
    </row>
    <row r="506" spans="1:3" x14ac:dyDescent="0.4">
      <c r="B506">
        <v>2.4</v>
      </c>
      <c r="C506">
        <v>2.1</v>
      </c>
    </row>
    <row r="507" spans="1:3" x14ac:dyDescent="0.4">
      <c r="B507">
        <v>2.6</v>
      </c>
      <c r="C507">
        <v>2.2000000000000002</v>
      </c>
    </row>
    <row r="508" spans="1:3" x14ac:dyDescent="0.4">
      <c r="B508">
        <v>2.2999999999999998</v>
      </c>
      <c r="C508">
        <v>2.1</v>
      </c>
    </row>
    <row r="509" spans="1:3" x14ac:dyDescent="0.4">
      <c r="B509">
        <v>2.25</v>
      </c>
      <c r="C509">
        <v>2</v>
      </c>
    </row>
    <row r="510" spans="1:3" x14ac:dyDescent="0.4">
      <c r="B510">
        <v>2.1</v>
      </c>
      <c r="C510">
        <v>2</v>
      </c>
    </row>
    <row r="511" spans="1:3" x14ac:dyDescent="0.4">
      <c r="B511">
        <v>1.6</v>
      </c>
      <c r="C511">
        <v>2</v>
      </c>
    </row>
    <row r="512" spans="1:3" x14ac:dyDescent="0.4">
      <c r="B512">
        <v>1.8</v>
      </c>
      <c r="C512">
        <v>2.1</v>
      </c>
    </row>
    <row r="513" spans="1:3" x14ac:dyDescent="0.4">
      <c r="B513">
        <f ca="1">AVERAGE(B503:B513)</f>
        <v>2.2450000000000006</v>
      </c>
      <c r="C513">
        <f ca="1">AVERAGE(C503:C513)</f>
        <v>2.0700000000000003</v>
      </c>
    </row>
    <row r="515" spans="1:3" x14ac:dyDescent="0.4">
      <c r="A515" t="s">
        <v>46</v>
      </c>
      <c r="B515">
        <v>2.2000000000000002</v>
      </c>
      <c r="C515">
        <v>1.6</v>
      </c>
    </row>
    <row r="516" spans="1:3" x14ac:dyDescent="0.4">
      <c r="B516">
        <v>2.1</v>
      </c>
      <c r="C516">
        <v>1.7</v>
      </c>
    </row>
    <row r="517" spans="1:3" x14ac:dyDescent="0.4">
      <c r="B517">
        <v>2.1</v>
      </c>
      <c r="C517">
        <v>1.6</v>
      </c>
    </row>
    <row r="518" spans="1:3" x14ac:dyDescent="0.4">
      <c r="B518">
        <v>2.2000000000000002</v>
      </c>
      <c r="C518">
        <v>1.7</v>
      </c>
    </row>
    <row r="519" spans="1:3" x14ac:dyDescent="0.4">
      <c r="B519">
        <v>2.2000000000000002</v>
      </c>
      <c r="C519">
        <v>1.65</v>
      </c>
    </row>
    <row r="520" spans="1:3" x14ac:dyDescent="0.4">
      <c r="B520">
        <v>2.1</v>
      </c>
      <c r="C520">
        <v>1.6</v>
      </c>
    </row>
    <row r="521" spans="1:3" x14ac:dyDescent="0.4">
      <c r="B521">
        <v>2</v>
      </c>
      <c r="C521">
        <v>1.5</v>
      </c>
    </row>
    <row r="522" spans="1:3" x14ac:dyDescent="0.4">
      <c r="B522">
        <f ca="1">AVERAGE(B515:B522)</f>
        <v>2.1285714285714286</v>
      </c>
      <c r="C522">
        <f ca="1">AVERAGE(C515:C522)</f>
        <v>1.6214285714285714</v>
      </c>
    </row>
    <row r="525" spans="1:3" x14ac:dyDescent="0.4">
      <c r="A525" t="s">
        <v>32</v>
      </c>
      <c r="B525">
        <v>1.8</v>
      </c>
      <c r="C525">
        <v>1.75</v>
      </c>
    </row>
    <row r="526" spans="1:3" x14ac:dyDescent="0.4">
      <c r="B526">
        <v>1.7</v>
      </c>
      <c r="C526">
        <v>1.7</v>
      </c>
    </row>
    <row r="527" spans="1:3" x14ac:dyDescent="0.4">
      <c r="B527">
        <v>1.5</v>
      </c>
      <c r="C527">
        <v>1.6</v>
      </c>
    </row>
    <row r="528" spans="1:3" x14ac:dyDescent="0.4">
      <c r="B528">
        <v>2.2000000000000002</v>
      </c>
      <c r="C528">
        <v>1.7</v>
      </c>
    </row>
    <row r="529" spans="2:3" x14ac:dyDescent="0.4">
      <c r="B529">
        <v>2</v>
      </c>
      <c r="C529">
        <v>1.8</v>
      </c>
    </row>
    <row r="530" spans="2:3" x14ac:dyDescent="0.4">
      <c r="B530">
        <v>2.2000000000000002</v>
      </c>
      <c r="C530">
        <v>1.8</v>
      </c>
    </row>
    <row r="531" spans="2:3" x14ac:dyDescent="0.4">
      <c r="B531">
        <v>1.5</v>
      </c>
      <c r="C531">
        <v>1.7</v>
      </c>
    </row>
    <row r="532" spans="2:3" x14ac:dyDescent="0.4">
      <c r="B532">
        <v>1.9</v>
      </c>
      <c r="C532">
        <v>1.75</v>
      </c>
    </row>
    <row r="533" spans="2:3" x14ac:dyDescent="0.4">
      <c r="B533">
        <v>1.7</v>
      </c>
      <c r="C533">
        <v>1.45</v>
      </c>
    </row>
    <row r="534" spans="2:3" x14ac:dyDescent="0.4">
      <c r="B534">
        <v>2.1</v>
      </c>
      <c r="C534">
        <v>1.8</v>
      </c>
    </row>
    <row r="535" spans="2:3" x14ac:dyDescent="0.4">
      <c r="B535">
        <v>1.4</v>
      </c>
      <c r="C535">
        <v>1.5</v>
      </c>
    </row>
    <row r="536" spans="2:3" x14ac:dyDescent="0.4">
      <c r="B536">
        <v>1.9</v>
      </c>
      <c r="C536">
        <v>1.6</v>
      </c>
    </row>
    <row r="537" spans="2:3" x14ac:dyDescent="0.4">
      <c r="B537">
        <v>2.2000000000000002</v>
      </c>
      <c r="C537">
        <v>1.7</v>
      </c>
    </row>
    <row r="538" spans="2:3" x14ac:dyDescent="0.4">
      <c r="B538">
        <v>2</v>
      </c>
      <c r="C538">
        <v>1.7</v>
      </c>
    </row>
    <row r="539" spans="2:3" x14ac:dyDescent="0.4">
      <c r="B539">
        <v>1.4</v>
      </c>
      <c r="C539">
        <v>1.5</v>
      </c>
    </row>
    <row r="540" spans="2:3" x14ac:dyDescent="0.4">
      <c r="B540">
        <v>1.35</v>
      </c>
      <c r="C540">
        <v>1.45</v>
      </c>
    </row>
    <row r="541" spans="2:3" x14ac:dyDescent="0.4">
      <c r="B541">
        <v>1.5</v>
      </c>
      <c r="C541">
        <v>1.7</v>
      </c>
    </row>
    <row r="542" spans="2:3" x14ac:dyDescent="0.4">
      <c r="B542">
        <v>2.35</v>
      </c>
      <c r="C542">
        <v>1.75</v>
      </c>
    </row>
    <row r="543" spans="2:3" x14ac:dyDescent="0.4">
      <c r="B543">
        <v>2.2000000000000002</v>
      </c>
      <c r="C543">
        <v>1.6</v>
      </c>
    </row>
    <row r="544" spans="2:3" x14ac:dyDescent="0.4">
      <c r="B544">
        <v>1.5</v>
      </c>
      <c r="C544">
        <v>1.45</v>
      </c>
    </row>
    <row r="545" spans="2:3" x14ac:dyDescent="0.4">
      <c r="B545">
        <v>2.0499999999999998</v>
      </c>
      <c r="C545">
        <v>1.8</v>
      </c>
    </row>
    <row r="546" spans="2:3" x14ac:dyDescent="0.4">
      <c r="B546">
        <v>1.95</v>
      </c>
      <c r="C546">
        <v>1.7</v>
      </c>
    </row>
    <row r="547" spans="2:3" x14ac:dyDescent="0.4">
      <c r="B547">
        <v>2.2999999999999998</v>
      </c>
      <c r="C547">
        <v>1.8</v>
      </c>
    </row>
    <row r="548" spans="2:3" x14ac:dyDescent="0.4">
      <c r="B548">
        <v>2.5</v>
      </c>
      <c r="C548">
        <v>1.9</v>
      </c>
    </row>
    <row r="549" spans="2:3" x14ac:dyDescent="0.4">
      <c r="B549">
        <v>1.75</v>
      </c>
      <c r="C549">
        <v>1.7</v>
      </c>
    </row>
    <row r="550" spans="2:3" x14ac:dyDescent="0.4">
      <c r="B550">
        <v>1.9</v>
      </c>
      <c r="C550">
        <v>1.7</v>
      </c>
    </row>
    <row r="551" spans="2:3" x14ac:dyDescent="0.4">
      <c r="B551">
        <v>2.1</v>
      </c>
      <c r="C551">
        <v>1.8</v>
      </c>
    </row>
    <row r="552" spans="2:3" x14ac:dyDescent="0.4">
      <c r="B552">
        <v>1.75</v>
      </c>
      <c r="C552">
        <v>1.7</v>
      </c>
    </row>
    <row r="553" spans="2:3" x14ac:dyDescent="0.4">
      <c r="B553">
        <v>2.35</v>
      </c>
      <c r="C553">
        <v>1.6</v>
      </c>
    </row>
    <row r="554" spans="2:3" x14ac:dyDescent="0.4">
      <c r="B554">
        <v>2</v>
      </c>
      <c r="C554">
        <v>1.8</v>
      </c>
    </row>
    <row r="555" spans="2:3" x14ac:dyDescent="0.4">
      <c r="B555">
        <v>2.2000000000000002</v>
      </c>
      <c r="C555">
        <v>1.7</v>
      </c>
    </row>
    <row r="556" spans="2:3" x14ac:dyDescent="0.4">
      <c r="B556">
        <v>1.8</v>
      </c>
      <c r="C556">
        <v>1.7</v>
      </c>
    </row>
    <row r="557" spans="2:3" x14ac:dyDescent="0.4">
      <c r="B557">
        <v>2.2000000000000002</v>
      </c>
      <c r="C557">
        <v>1.6</v>
      </c>
    </row>
    <row r="558" spans="2:3" x14ac:dyDescent="0.4">
      <c r="B558">
        <v>2.25</v>
      </c>
      <c r="C558">
        <v>1.75</v>
      </c>
    </row>
    <row r="559" spans="2:3" x14ac:dyDescent="0.4">
      <c r="B559">
        <v>1.9</v>
      </c>
      <c r="C559">
        <v>1.8</v>
      </c>
    </row>
    <row r="560" spans="2:3" x14ac:dyDescent="0.4">
      <c r="B560">
        <v>1.9</v>
      </c>
      <c r="C560">
        <v>1.95</v>
      </c>
    </row>
    <row r="561" spans="2:3" x14ac:dyDescent="0.4">
      <c r="B561">
        <v>2.1</v>
      </c>
      <c r="C561">
        <v>1.9</v>
      </c>
    </row>
    <row r="562" spans="2:3" x14ac:dyDescent="0.4">
      <c r="B562">
        <v>2.1</v>
      </c>
      <c r="C562">
        <v>1.8</v>
      </c>
    </row>
    <row r="563" spans="2:3" x14ac:dyDescent="0.4">
      <c r="B563">
        <v>2.2999999999999998</v>
      </c>
      <c r="C563">
        <v>1.9</v>
      </c>
    </row>
    <row r="564" spans="2:3" x14ac:dyDescent="0.4">
      <c r="B564">
        <v>1.8</v>
      </c>
      <c r="C564">
        <v>1.75</v>
      </c>
    </row>
    <row r="565" spans="2:3" x14ac:dyDescent="0.4">
      <c r="B565">
        <v>2.0499999999999998</v>
      </c>
      <c r="C565">
        <v>1.7</v>
      </c>
    </row>
    <row r="566" spans="2:3" x14ac:dyDescent="0.4">
      <c r="B566">
        <v>2.1</v>
      </c>
      <c r="C566">
        <v>1.7</v>
      </c>
    </row>
    <row r="567" spans="2:3" x14ac:dyDescent="0.4">
      <c r="B567">
        <v>1.55</v>
      </c>
      <c r="C567">
        <v>1.4</v>
      </c>
    </row>
    <row r="568" spans="2:3" x14ac:dyDescent="0.4">
      <c r="B568">
        <v>2.2999999999999998</v>
      </c>
      <c r="C568">
        <v>1.9</v>
      </c>
    </row>
    <row r="569" spans="2:3" x14ac:dyDescent="0.4">
      <c r="B569">
        <v>1.7</v>
      </c>
      <c r="C569">
        <v>1.7</v>
      </c>
    </row>
    <row r="570" spans="2:3" x14ac:dyDescent="0.4">
      <c r="B570">
        <v>2.1</v>
      </c>
      <c r="C570">
        <v>1.65</v>
      </c>
    </row>
    <row r="571" spans="2:3" x14ac:dyDescent="0.4">
      <c r="B571">
        <v>1.9</v>
      </c>
      <c r="C571">
        <v>1.8</v>
      </c>
    </row>
    <row r="572" spans="2:3" x14ac:dyDescent="0.4">
      <c r="B572">
        <v>1.3</v>
      </c>
      <c r="C572">
        <v>1.4</v>
      </c>
    </row>
    <row r="573" spans="2:3" x14ac:dyDescent="0.4">
      <c r="B573">
        <v>2.1</v>
      </c>
      <c r="C573">
        <v>1.75</v>
      </c>
    </row>
    <row r="574" spans="2:3" x14ac:dyDescent="0.4">
      <c r="B574">
        <v>1.6</v>
      </c>
      <c r="C574">
        <v>1.3</v>
      </c>
    </row>
    <row r="575" spans="2:3" x14ac:dyDescent="0.4">
      <c r="B575">
        <v>2.2000000000000002</v>
      </c>
      <c r="C575">
        <v>1.75</v>
      </c>
    </row>
    <row r="576" spans="2:3" x14ac:dyDescent="0.4">
      <c r="B576">
        <v>2.1</v>
      </c>
      <c r="C576">
        <v>1.7</v>
      </c>
    </row>
    <row r="577" spans="2:3" x14ac:dyDescent="0.4">
      <c r="B577">
        <v>1.5</v>
      </c>
      <c r="C577">
        <v>1.4</v>
      </c>
    </row>
    <row r="578" spans="2:3" x14ac:dyDescent="0.4">
      <c r="B578">
        <v>1.8</v>
      </c>
      <c r="C578">
        <v>1.75</v>
      </c>
    </row>
    <row r="579" spans="2:3" x14ac:dyDescent="0.4">
      <c r="B579">
        <v>2.2000000000000002</v>
      </c>
      <c r="C579">
        <v>1.9</v>
      </c>
    </row>
    <row r="580" spans="2:3" x14ac:dyDescent="0.4">
      <c r="B580">
        <v>2.1</v>
      </c>
      <c r="C580">
        <v>1.95</v>
      </c>
    </row>
    <row r="581" spans="2:3" x14ac:dyDescent="0.4">
      <c r="B581">
        <v>2.2999999999999998</v>
      </c>
      <c r="C581">
        <v>1.8</v>
      </c>
    </row>
    <row r="582" spans="2:3" x14ac:dyDescent="0.4">
      <c r="B582">
        <v>2.4</v>
      </c>
      <c r="C582">
        <v>1.8</v>
      </c>
    </row>
    <row r="583" spans="2:3" x14ac:dyDescent="0.4">
      <c r="B583">
        <v>2</v>
      </c>
      <c r="C583">
        <v>1.7</v>
      </c>
    </row>
    <row r="584" spans="2:3" x14ac:dyDescent="0.4">
      <c r="B584">
        <v>1.8</v>
      </c>
      <c r="C584">
        <v>1.5</v>
      </c>
    </row>
    <row r="585" spans="2:3" x14ac:dyDescent="0.4">
      <c r="B585">
        <v>2.15</v>
      </c>
      <c r="C585">
        <v>1.6</v>
      </c>
    </row>
    <row r="586" spans="2:3" x14ac:dyDescent="0.4">
      <c r="B586">
        <v>1.6</v>
      </c>
      <c r="C586">
        <v>1.4</v>
      </c>
    </row>
    <row r="587" spans="2:3" x14ac:dyDescent="0.4">
      <c r="B587">
        <v>1.6</v>
      </c>
      <c r="C587">
        <v>1.6</v>
      </c>
    </row>
    <row r="588" spans="2:3" x14ac:dyDescent="0.4">
      <c r="B588">
        <v>1.9</v>
      </c>
      <c r="C588">
        <v>1.5</v>
      </c>
    </row>
    <row r="589" spans="2:3" x14ac:dyDescent="0.4">
      <c r="B589">
        <v>2.2000000000000002</v>
      </c>
      <c r="C589">
        <v>1.8</v>
      </c>
    </row>
    <row r="590" spans="2:3" x14ac:dyDescent="0.4">
      <c r="B590">
        <v>1.6</v>
      </c>
      <c r="C590">
        <v>1.5</v>
      </c>
    </row>
    <row r="591" spans="2:3" x14ac:dyDescent="0.4">
      <c r="B591">
        <v>1.6</v>
      </c>
      <c r="C591">
        <v>1.4</v>
      </c>
    </row>
    <row r="592" spans="2:3" x14ac:dyDescent="0.4">
      <c r="B592">
        <v>2.1</v>
      </c>
      <c r="C592">
        <v>1.7</v>
      </c>
    </row>
    <row r="593" spans="1:3" x14ac:dyDescent="0.4">
      <c r="B593">
        <v>1.9</v>
      </c>
      <c r="C593">
        <v>1.5</v>
      </c>
    </row>
    <row r="594" spans="1:3" x14ac:dyDescent="0.4">
      <c r="B594">
        <v>1.7</v>
      </c>
      <c r="C594">
        <v>1.6</v>
      </c>
    </row>
    <row r="595" spans="1:3" x14ac:dyDescent="0.4">
      <c r="B595">
        <v>1.5</v>
      </c>
      <c r="C595">
        <v>1.4</v>
      </c>
    </row>
    <row r="596" spans="1:3" x14ac:dyDescent="0.4">
      <c r="B596">
        <v>2.1</v>
      </c>
      <c r="C596">
        <v>1.9</v>
      </c>
    </row>
    <row r="597" spans="1:3" x14ac:dyDescent="0.4">
      <c r="B597">
        <v>1.7</v>
      </c>
      <c r="C597">
        <v>1.5</v>
      </c>
    </row>
    <row r="598" spans="1:3" x14ac:dyDescent="0.4">
      <c r="B598">
        <f ca="1">AVERAGE(B525:B598)</f>
        <v>1.9226027397260264</v>
      </c>
      <c r="C598">
        <f ca="1">AVERAGE(C525:C598)</f>
        <v>1.6753424657534255</v>
      </c>
    </row>
    <row r="600" spans="1:3" x14ac:dyDescent="0.4">
      <c r="A600" t="s">
        <v>193</v>
      </c>
      <c r="B600">
        <v>2.1</v>
      </c>
      <c r="C600">
        <v>2</v>
      </c>
    </row>
    <row r="601" spans="1:3" x14ac:dyDescent="0.4">
      <c r="B601">
        <v>2.4</v>
      </c>
      <c r="C601">
        <v>2.1</v>
      </c>
    </row>
    <row r="602" spans="1:3" x14ac:dyDescent="0.4">
      <c r="B602">
        <v>2.2000000000000002</v>
      </c>
      <c r="C602">
        <v>2</v>
      </c>
    </row>
    <row r="603" spans="1:3" x14ac:dyDescent="0.4">
      <c r="B603">
        <v>2.8</v>
      </c>
      <c r="C603">
        <v>2.8</v>
      </c>
    </row>
    <row r="604" spans="1:3" x14ac:dyDescent="0.4">
      <c r="B604">
        <v>2.5</v>
      </c>
      <c r="C604">
        <v>2.25</v>
      </c>
    </row>
    <row r="605" spans="1:3" x14ac:dyDescent="0.4">
      <c r="B605">
        <v>1.8</v>
      </c>
      <c r="C605">
        <v>1.75</v>
      </c>
    </row>
    <row r="606" spans="1:3" x14ac:dyDescent="0.4">
      <c r="B606">
        <v>2.2000000000000002</v>
      </c>
      <c r="C606">
        <v>2.15</v>
      </c>
    </row>
    <row r="607" spans="1:3" x14ac:dyDescent="0.4">
      <c r="B607">
        <v>2.4</v>
      </c>
      <c r="C607">
        <v>2.1</v>
      </c>
    </row>
    <row r="608" spans="1:3" x14ac:dyDescent="0.4">
      <c r="B608">
        <v>2.2999999999999998</v>
      </c>
      <c r="C608">
        <v>1.75</v>
      </c>
    </row>
    <row r="609" spans="2:3" x14ac:dyDescent="0.4">
      <c r="B609">
        <v>2.2000000000000002</v>
      </c>
      <c r="C609">
        <v>1.7</v>
      </c>
    </row>
    <row r="610" spans="2:3" x14ac:dyDescent="0.4">
      <c r="B610">
        <v>2.5</v>
      </c>
      <c r="C610">
        <v>2.1</v>
      </c>
    </row>
    <row r="611" spans="2:3" x14ac:dyDescent="0.4">
      <c r="B611">
        <v>1.65</v>
      </c>
      <c r="C611">
        <v>1.5</v>
      </c>
    </row>
    <row r="612" spans="2:3" x14ac:dyDescent="0.4">
      <c r="B612">
        <v>2.5</v>
      </c>
      <c r="C612">
        <v>2</v>
      </c>
    </row>
    <row r="613" spans="2:3" x14ac:dyDescent="0.4">
      <c r="B613">
        <v>2.1</v>
      </c>
      <c r="C613">
        <v>2.2999999999999998</v>
      </c>
    </row>
    <row r="614" spans="2:3" x14ac:dyDescent="0.4">
      <c r="B614">
        <v>2.9</v>
      </c>
      <c r="C614">
        <v>2.2000000000000002</v>
      </c>
    </row>
    <row r="615" spans="2:3" x14ac:dyDescent="0.4">
      <c r="B615">
        <v>2.4</v>
      </c>
      <c r="C615">
        <v>1.9</v>
      </c>
    </row>
    <row r="616" spans="2:3" x14ac:dyDescent="0.4">
      <c r="B616">
        <v>2.4</v>
      </c>
      <c r="C616">
        <v>1.9</v>
      </c>
    </row>
    <row r="617" spans="2:3" x14ac:dyDescent="0.4">
      <c r="B617">
        <v>2.35</v>
      </c>
      <c r="C617">
        <v>2</v>
      </c>
    </row>
    <row r="618" spans="2:3" x14ac:dyDescent="0.4">
      <c r="B618">
        <v>2.4</v>
      </c>
      <c r="C618">
        <v>2</v>
      </c>
    </row>
    <row r="619" spans="2:3" x14ac:dyDescent="0.4">
      <c r="B619">
        <v>2.7</v>
      </c>
      <c r="C619">
        <v>1.95</v>
      </c>
    </row>
    <row r="620" spans="2:3" x14ac:dyDescent="0.4">
      <c r="B620">
        <v>2.1</v>
      </c>
      <c r="C620">
        <v>1.9</v>
      </c>
    </row>
    <row r="621" spans="2:3" x14ac:dyDescent="0.4">
      <c r="B621">
        <v>2.1</v>
      </c>
      <c r="C621">
        <v>1.95</v>
      </c>
    </row>
    <row r="622" spans="2:3" x14ac:dyDescent="0.4">
      <c r="B622">
        <v>3.5</v>
      </c>
      <c r="C622">
        <v>2.25</v>
      </c>
    </row>
    <row r="623" spans="2:3" x14ac:dyDescent="0.4">
      <c r="B623">
        <v>2.5499999999999998</v>
      </c>
      <c r="C623">
        <v>2.15</v>
      </c>
    </row>
    <row r="624" spans="2:3" x14ac:dyDescent="0.4">
      <c r="B624">
        <v>2.4</v>
      </c>
      <c r="C624">
        <v>2.25</v>
      </c>
    </row>
    <row r="625" spans="2:3" x14ac:dyDescent="0.4">
      <c r="B625">
        <v>2.4</v>
      </c>
      <c r="C625">
        <v>2.1</v>
      </c>
    </row>
    <row r="626" spans="2:3" x14ac:dyDescent="0.4">
      <c r="B626">
        <v>2.2999999999999998</v>
      </c>
      <c r="C626">
        <v>2.0499999999999998</v>
      </c>
    </row>
    <row r="627" spans="2:3" x14ac:dyDescent="0.4">
      <c r="B627">
        <v>2.5</v>
      </c>
      <c r="C627">
        <v>1.9</v>
      </c>
    </row>
    <row r="628" spans="2:3" x14ac:dyDescent="0.4">
      <c r="B628">
        <v>2.5</v>
      </c>
      <c r="C628">
        <v>1.9</v>
      </c>
    </row>
    <row r="629" spans="2:3" x14ac:dyDescent="0.4">
      <c r="B629">
        <v>2.7</v>
      </c>
      <c r="C629">
        <v>2.2000000000000002</v>
      </c>
    </row>
    <row r="630" spans="2:3" x14ac:dyDescent="0.4">
      <c r="B630">
        <v>2.2999999999999998</v>
      </c>
      <c r="C630">
        <v>2.1</v>
      </c>
    </row>
    <row r="631" spans="2:3" x14ac:dyDescent="0.4">
      <c r="B631">
        <v>2.5</v>
      </c>
      <c r="C631">
        <v>2</v>
      </c>
    </row>
    <row r="632" spans="2:3" x14ac:dyDescent="0.4">
      <c r="B632">
        <v>2.2000000000000002</v>
      </c>
      <c r="C632">
        <v>1.7</v>
      </c>
    </row>
    <row r="633" spans="2:3" x14ac:dyDescent="0.4">
      <c r="B633">
        <v>2.2999999999999998</v>
      </c>
      <c r="C633">
        <v>2</v>
      </c>
    </row>
    <row r="634" spans="2:3" x14ac:dyDescent="0.4">
      <c r="B634">
        <v>2.2000000000000002</v>
      </c>
      <c r="C634">
        <v>2.1</v>
      </c>
    </row>
    <row r="635" spans="2:3" x14ac:dyDescent="0.4">
      <c r="B635">
        <v>2.4</v>
      </c>
      <c r="C635">
        <v>2.25</v>
      </c>
    </row>
    <row r="636" spans="2:3" x14ac:dyDescent="0.4">
      <c r="B636">
        <v>2.2999999999999998</v>
      </c>
      <c r="C636">
        <v>1.8</v>
      </c>
    </row>
    <row r="637" spans="2:3" x14ac:dyDescent="0.4">
      <c r="B637">
        <v>2.75</v>
      </c>
      <c r="C637">
        <v>2</v>
      </c>
    </row>
    <row r="638" spans="2:3" x14ac:dyDescent="0.4">
      <c r="B638">
        <v>2.2000000000000002</v>
      </c>
      <c r="C638">
        <v>2</v>
      </c>
    </row>
    <row r="639" spans="2:3" x14ac:dyDescent="0.4">
      <c r="B639">
        <v>3</v>
      </c>
      <c r="C639">
        <v>2.2000000000000002</v>
      </c>
    </row>
    <row r="640" spans="2:3" x14ac:dyDescent="0.4">
      <c r="B640">
        <v>2.5</v>
      </c>
      <c r="C640">
        <v>2</v>
      </c>
    </row>
    <row r="641" spans="2:3" x14ac:dyDescent="0.4">
      <c r="B641">
        <v>2.8</v>
      </c>
      <c r="C641">
        <v>2.1</v>
      </c>
    </row>
    <row r="642" spans="2:3" x14ac:dyDescent="0.4">
      <c r="B642">
        <v>1.8</v>
      </c>
      <c r="C642">
        <v>1.7</v>
      </c>
    </row>
    <row r="643" spans="2:3" x14ac:dyDescent="0.4">
      <c r="B643">
        <v>2.1</v>
      </c>
      <c r="C643">
        <v>1.8</v>
      </c>
    </row>
    <row r="644" spans="2:3" x14ac:dyDescent="0.4">
      <c r="B644">
        <v>2.85</v>
      </c>
      <c r="C644">
        <v>2.2000000000000002</v>
      </c>
    </row>
    <row r="645" spans="2:3" x14ac:dyDescent="0.4">
      <c r="B645">
        <v>2.6</v>
      </c>
      <c r="C645">
        <v>2.2000000000000002</v>
      </c>
    </row>
    <row r="646" spans="2:3" x14ac:dyDescent="0.4">
      <c r="B646">
        <v>2</v>
      </c>
      <c r="C646">
        <v>1.9</v>
      </c>
    </row>
    <row r="647" spans="2:3" x14ac:dyDescent="0.4">
      <c r="B647">
        <v>2.4</v>
      </c>
      <c r="C647">
        <v>2</v>
      </c>
    </row>
    <row r="648" spans="2:3" x14ac:dyDescent="0.4">
      <c r="B648">
        <v>2.5</v>
      </c>
      <c r="C648">
        <v>2</v>
      </c>
    </row>
    <row r="649" spans="2:3" x14ac:dyDescent="0.4">
      <c r="B649">
        <v>2.75</v>
      </c>
      <c r="C649">
        <v>2.4</v>
      </c>
    </row>
    <row r="650" spans="2:3" x14ac:dyDescent="0.4">
      <c r="B650">
        <v>2</v>
      </c>
      <c r="C650">
        <v>2</v>
      </c>
    </row>
    <row r="651" spans="2:3" x14ac:dyDescent="0.4">
      <c r="B651">
        <v>2.4</v>
      </c>
      <c r="C651">
        <v>2</v>
      </c>
    </row>
    <row r="652" spans="2:3" x14ac:dyDescent="0.4">
      <c r="B652">
        <v>2.7</v>
      </c>
      <c r="C652">
        <v>2.1</v>
      </c>
    </row>
    <row r="653" spans="2:3" x14ac:dyDescent="0.4">
      <c r="B653">
        <v>3.2</v>
      </c>
      <c r="C653">
        <v>2.2999999999999998</v>
      </c>
    </row>
    <row r="654" spans="2:3" x14ac:dyDescent="0.4">
      <c r="B654">
        <v>2.1</v>
      </c>
      <c r="C654">
        <v>1.9</v>
      </c>
    </row>
    <row r="655" spans="2:3" x14ac:dyDescent="0.4">
      <c r="B655">
        <v>2.2000000000000002</v>
      </c>
      <c r="C655">
        <v>2</v>
      </c>
    </row>
    <row r="656" spans="2:3" x14ac:dyDescent="0.4">
      <c r="B656">
        <v>2.2000000000000002</v>
      </c>
      <c r="C656">
        <v>1.8</v>
      </c>
    </row>
    <row r="657" spans="2:3" x14ac:dyDescent="0.4">
      <c r="B657">
        <v>2.2999999999999998</v>
      </c>
      <c r="C657">
        <v>2</v>
      </c>
    </row>
    <row r="658" spans="2:3" x14ac:dyDescent="0.4">
      <c r="B658">
        <v>2.9</v>
      </c>
      <c r="C658">
        <v>2.25</v>
      </c>
    </row>
    <row r="659" spans="2:3" x14ac:dyDescent="0.4">
      <c r="B659">
        <v>2.7</v>
      </c>
      <c r="C659">
        <v>2.25</v>
      </c>
    </row>
    <row r="660" spans="2:3" x14ac:dyDescent="0.4">
      <c r="B660">
        <v>2.5</v>
      </c>
      <c r="C660">
        <v>2</v>
      </c>
    </row>
    <row r="661" spans="2:3" x14ac:dyDescent="0.4">
      <c r="B661">
        <v>2.2000000000000002</v>
      </c>
      <c r="C661">
        <v>1.9</v>
      </c>
    </row>
    <row r="662" spans="2:3" x14ac:dyDescent="0.4">
      <c r="B662">
        <v>2.2999999999999998</v>
      </c>
      <c r="C662">
        <v>1.9</v>
      </c>
    </row>
    <row r="663" spans="2:3" x14ac:dyDescent="0.4">
      <c r="B663">
        <v>2.2999999999999998</v>
      </c>
      <c r="C663">
        <v>1.8</v>
      </c>
    </row>
    <row r="664" spans="2:3" x14ac:dyDescent="0.4">
      <c r="B664">
        <v>2.4</v>
      </c>
      <c r="C664">
        <v>1.8</v>
      </c>
    </row>
    <row r="665" spans="2:3" x14ac:dyDescent="0.4">
      <c r="B665">
        <v>3</v>
      </c>
      <c r="C665">
        <v>2</v>
      </c>
    </row>
    <row r="666" spans="2:3" x14ac:dyDescent="0.4">
      <c r="B666">
        <v>1.8</v>
      </c>
      <c r="C666">
        <v>1.65</v>
      </c>
    </row>
    <row r="667" spans="2:3" x14ac:dyDescent="0.4">
      <c r="B667">
        <v>2</v>
      </c>
      <c r="C667">
        <v>1.9</v>
      </c>
    </row>
    <row r="668" spans="2:3" x14ac:dyDescent="0.4">
      <c r="B668">
        <v>2.1</v>
      </c>
      <c r="C668">
        <v>2</v>
      </c>
    </row>
    <row r="669" spans="2:3" x14ac:dyDescent="0.4">
      <c r="B669">
        <v>2.5</v>
      </c>
      <c r="C669">
        <v>2</v>
      </c>
    </row>
    <row r="670" spans="2:3" x14ac:dyDescent="0.4">
      <c r="B670">
        <v>2</v>
      </c>
      <c r="C670">
        <v>1.7</v>
      </c>
    </row>
    <row r="671" spans="2:3" x14ac:dyDescent="0.4">
      <c r="B671">
        <v>2</v>
      </c>
      <c r="C671">
        <v>1.8</v>
      </c>
    </row>
    <row r="672" spans="2:3" x14ac:dyDescent="0.4">
      <c r="B672">
        <v>2.65</v>
      </c>
      <c r="C672">
        <v>2.2999999999999998</v>
      </c>
    </row>
    <row r="673" spans="2:3" x14ac:dyDescent="0.4">
      <c r="B673">
        <v>1.9</v>
      </c>
      <c r="C673">
        <v>1.8</v>
      </c>
    </row>
    <row r="674" spans="2:3" x14ac:dyDescent="0.4">
      <c r="B674">
        <v>2.5</v>
      </c>
      <c r="C674">
        <v>2.2000000000000002</v>
      </c>
    </row>
    <row r="675" spans="2:3" x14ac:dyDescent="0.4">
      <c r="B675">
        <v>2.4</v>
      </c>
      <c r="C675">
        <v>1.9</v>
      </c>
    </row>
    <row r="676" spans="2:3" x14ac:dyDescent="0.4">
      <c r="B676">
        <v>2.8</v>
      </c>
      <c r="C676">
        <v>2</v>
      </c>
    </row>
    <row r="677" spans="2:3" x14ac:dyDescent="0.4">
      <c r="B677">
        <v>2.2000000000000002</v>
      </c>
      <c r="C677">
        <v>1.7</v>
      </c>
    </row>
    <row r="678" spans="2:3" x14ac:dyDescent="0.4">
      <c r="B678">
        <v>2.4</v>
      </c>
      <c r="C678">
        <v>2.1</v>
      </c>
    </row>
    <row r="679" spans="2:3" x14ac:dyDescent="0.4">
      <c r="B679">
        <v>2.1</v>
      </c>
      <c r="C679">
        <v>2</v>
      </c>
    </row>
    <row r="680" spans="2:3" x14ac:dyDescent="0.4">
      <c r="B680">
        <v>3</v>
      </c>
      <c r="C680">
        <v>2.2999999999999998</v>
      </c>
    </row>
    <row r="681" spans="2:3" x14ac:dyDescent="0.4">
      <c r="B681">
        <v>2.5</v>
      </c>
      <c r="C681">
        <v>2.2999999999999998</v>
      </c>
    </row>
    <row r="682" spans="2:3" x14ac:dyDescent="0.4">
      <c r="B682">
        <v>3.1</v>
      </c>
      <c r="C682">
        <v>2.2000000000000002</v>
      </c>
    </row>
    <row r="683" spans="2:3" x14ac:dyDescent="0.4">
      <c r="B683">
        <v>2.5</v>
      </c>
      <c r="C683">
        <v>2.5</v>
      </c>
    </row>
    <row r="684" spans="2:3" x14ac:dyDescent="0.4">
      <c r="B684">
        <v>2.6</v>
      </c>
      <c r="C684">
        <v>2</v>
      </c>
    </row>
    <row r="685" spans="2:3" x14ac:dyDescent="0.4">
      <c r="B685">
        <v>2.5</v>
      </c>
      <c r="C685">
        <v>2.1</v>
      </c>
    </row>
    <row r="686" spans="2:3" x14ac:dyDescent="0.4">
      <c r="B686">
        <v>2.4</v>
      </c>
      <c r="C686">
        <v>1.9</v>
      </c>
    </row>
    <row r="687" spans="2:3" x14ac:dyDescent="0.4">
      <c r="B687">
        <v>2.8</v>
      </c>
      <c r="C687">
        <v>2</v>
      </c>
    </row>
    <row r="688" spans="2:3" x14ac:dyDescent="0.4">
      <c r="B688">
        <v>2.5</v>
      </c>
      <c r="C688">
        <v>2</v>
      </c>
    </row>
    <row r="689" spans="2:3" x14ac:dyDescent="0.4">
      <c r="B689">
        <v>1.9</v>
      </c>
      <c r="C689">
        <v>1.85</v>
      </c>
    </row>
    <row r="690" spans="2:3" x14ac:dyDescent="0.4">
      <c r="B690">
        <v>2.5</v>
      </c>
      <c r="C690">
        <v>2.1</v>
      </c>
    </row>
    <row r="691" spans="2:3" x14ac:dyDescent="0.4">
      <c r="B691">
        <v>2.1</v>
      </c>
      <c r="C691">
        <v>1.9</v>
      </c>
    </row>
    <row r="692" spans="2:3" x14ac:dyDescent="0.4">
      <c r="B692">
        <v>2.6</v>
      </c>
      <c r="C692">
        <v>2.1</v>
      </c>
    </row>
    <row r="693" spans="2:3" x14ac:dyDescent="0.4">
      <c r="B693">
        <v>2.35</v>
      </c>
      <c r="C693">
        <v>2.1</v>
      </c>
    </row>
    <row r="694" spans="2:3" x14ac:dyDescent="0.4">
      <c r="B694">
        <v>2.2999999999999998</v>
      </c>
      <c r="C694">
        <v>2.2000000000000002</v>
      </c>
    </row>
    <row r="695" spans="2:3" x14ac:dyDescent="0.4">
      <c r="B695">
        <v>2.2000000000000002</v>
      </c>
      <c r="C695">
        <v>1.9</v>
      </c>
    </row>
    <row r="696" spans="2:3" x14ac:dyDescent="0.4">
      <c r="B696">
        <v>2</v>
      </c>
      <c r="C696">
        <v>1.8</v>
      </c>
    </row>
    <row r="697" spans="2:3" x14ac:dyDescent="0.4">
      <c r="B697">
        <v>3</v>
      </c>
      <c r="C697">
        <v>2.15</v>
      </c>
    </row>
    <row r="698" spans="2:3" x14ac:dyDescent="0.4">
      <c r="B698">
        <v>2.25</v>
      </c>
      <c r="C698">
        <v>2.2000000000000002</v>
      </c>
    </row>
    <row r="699" spans="2:3" x14ac:dyDescent="0.4">
      <c r="B699">
        <v>2.5</v>
      </c>
      <c r="C699">
        <v>2</v>
      </c>
    </row>
    <row r="700" spans="2:3" x14ac:dyDescent="0.4">
      <c r="B700">
        <v>2.5</v>
      </c>
      <c r="C700">
        <v>2</v>
      </c>
    </row>
    <row r="701" spans="2:3" x14ac:dyDescent="0.4">
      <c r="B701">
        <v>2.6</v>
      </c>
      <c r="C701">
        <v>1.9</v>
      </c>
    </row>
    <row r="702" spans="2:3" x14ac:dyDescent="0.4">
      <c r="B702">
        <v>2.4</v>
      </c>
      <c r="C702">
        <v>2.2000000000000002</v>
      </c>
    </row>
    <row r="703" spans="2:3" x14ac:dyDescent="0.4">
      <c r="B703">
        <v>2.6</v>
      </c>
      <c r="C703">
        <v>2.1</v>
      </c>
    </row>
    <row r="704" spans="2:3" x14ac:dyDescent="0.4">
      <c r="B704">
        <v>2.6</v>
      </c>
      <c r="C704">
        <v>2</v>
      </c>
    </row>
    <row r="705" spans="2:3" x14ac:dyDescent="0.4">
      <c r="B705">
        <v>2.1</v>
      </c>
      <c r="C705">
        <v>1.8</v>
      </c>
    </row>
    <row r="706" spans="2:3" x14ac:dyDescent="0.4">
      <c r="B706">
        <v>2.5</v>
      </c>
      <c r="C706">
        <v>2</v>
      </c>
    </row>
    <row r="707" spans="2:3" x14ac:dyDescent="0.4">
      <c r="B707">
        <v>2.1</v>
      </c>
      <c r="C707">
        <v>1.85</v>
      </c>
    </row>
    <row r="708" spans="2:3" x14ac:dyDescent="0.4">
      <c r="B708">
        <v>2.4</v>
      </c>
      <c r="C708">
        <v>2</v>
      </c>
    </row>
    <row r="709" spans="2:3" x14ac:dyDescent="0.4">
      <c r="B709">
        <v>2.1</v>
      </c>
      <c r="C709">
        <v>1.95</v>
      </c>
    </row>
    <row r="710" spans="2:3" x14ac:dyDescent="0.4">
      <c r="B710">
        <v>3.2</v>
      </c>
      <c r="C710">
        <v>2.5</v>
      </c>
    </row>
    <row r="711" spans="2:3" x14ac:dyDescent="0.4">
      <c r="B711">
        <v>2.5</v>
      </c>
      <c r="C711">
        <v>2</v>
      </c>
    </row>
    <row r="712" spans="2:3" x14ac:dyDescent="0.4">
      <c r="B712">
        <v>2.15</v>
      </c>
      <c r="C712">
        <v>1.95</v>
      </c>
    </row>
    <row r="713" spans="2:3" x14ac:dyDescent="0.4">
      <c r="B713">
        <v>1.6</v>
      </c>
      <c r="C713">
        <v>1.8</v>
      </c>
    </row>
    <row r="714" spans="2:3" x14ac:dyDescent="0.4">
      <c r="B714">
        <v>1.7</v>
      </c>
      <c r="C714">
        <v>1.9</v>
      </c>
    </row>
    <row r="715" spans="2:3" x14ac:dyDescent="0.4">
      <c r="B715">
        <v>2.4</v>
      </c>
      <c r="C715">
        <v>2.1</v>
      </c>
    </row>
    <row r="716" spans="2:3" x14ac:dyDescent="0.4">
      <c r="B716">
        <v>2.1</v>
      </c>
      <c r="C716">
        <v>1.5</v>
      </c>
    </row>
    <row r="717" spans="2:3" x14ac:dyDescent="0.4">
      <c r="B717">
        <v>1.6</v>
      </c>
      <c r="C717">
        <v>1.8</v>
      </c>
    </row>
    <row r="718" spans="2:3" x14ac:dyDescent="0.4">
      <c r="B718">
        <v>2.5</v>
      </c>
      <c r="C718">
        <v>2.2999999999999998</v>
      </c>
    </row>
    <row r="719" spans="2:3" x14ac:dyDescent="0.4">
      <c r="B719">
        <v>2.2999999999999998</v>
      </c>
      <c r="C719">
        <v>2.1</v>
      </c>
    </row>
    <row r="720" spans="2:3" x14ac:dyDescent="0.4">
      <c r="B720">
        <v>2.2999999999999998</v>
      </c>
      <c r="C720">
        <v>1.9</v>
      </c>
    </row>
    <row r="721" spans="2:3" x14ac:dyDescent="0.4">
      <c r="B721">
        <v>2.2000000000000002</v>
      </c>
      <c r="C721">
        <v>2</v>
      </c>
    </row>
    <row r="722" spans="2:3" x14ac:dyDescent="0.4">
      <c r="B722">
        <v>2.7</v>
      </c>
      <c r="C722">
        <v>2.1</v>
      </c>
    </row>
    <row r="723" spans="2:3" x14ac:dyDescent="0.4">
      <c r="B723">
        <v>3.4</v>
      </c>
      <c r="C723">
        <v>2.2000000000000002</v>
      </c>
    </row>
    <row r="724" spans="2:3" x14ac:dyDescent="0.4">
      <c r="B724">
        <v>2.4</v>
      </c>
      <c r="C724">
        <v>2</v>
      </c>
    </row>
    <row r="725" spans="2:3" x14ac:dyDescent="0.4">
      <c r="B725">
        <v>2.5499999999999998</v>
      </c>
      <c r="C725">
        <v>2.1</v>
      </c>
    </row>
    <row r="726" spans="2:3" x14ac:dyDescent="0.4">
      <c r="B726">
        <v>1.7</v>
      </c>
      <c r="C726">
        <v>1.75</v>
      </c>
    </row>
    <row r="727" spans="2:3" x14ac:dyDescent="0.4">
      <c r="B727">
        <v>2.4</v>
      </c>
      <c r="C727">
        <v>2</v>
      </c>
    </row>
    <row r="728" spans="2:3" x14ac:dyDescent="0.4">
      <c r="B728">
        <v>2.4</v>
      </c>
      <c r="C728">
        <v>1.8</v>
      </c>
    </row>
    <row r="729" spans="2:3" x14ac:dyDescent="0.4">
      <c r="B729">
        <v>2.5</v>
      </c>
      <c r="C729">
        <v>2</v>
      </c>
    </row>
    <row r="730" spans="2:3" x14ac:dyDescent="0.4">
      <c r="B730">
        <v>2.5</v>
      </c>
      <c r="C730">
        <v>1.9</v>
      </c>
    </row>
    <row r="731" spans="2:3" x14ac:dyDescent="0.4">
      <c r="B731">
        <v>1.5</v>
      </c>
      <c r="C731">
        <v>1.3</v>
      </c>
    </row>
    <row r="732" spans="2:3" x14ac:dyDescent="0.4">
      <c r="B732">
        <v>2.35</v>
      </c>
      <c r="C732">
        <v>2.1</v>
      </c>
    </row>
    <row r="733" spans="2:3" x14ac:dyDescent="0.4">
      <c r="B733">
        <v>2.2999999999999998</v>
      </c>
      <c r="C733">
        <v>2.1</v>
      </c>
    </row>
    <row r="734" spans="2:3" x14ac:dyDescent="0.4">
      <c r="B734">
        <v>2.2000000000000002</v>
      </c>
      <c r="C734">
        <v>1.9</v>
      </c>
    </row>
    <row r="735" spans="2:3" x14ac:dyDescent="0.4">
      <c r="B735">
        <v>2.5</v>
      </c>
      <c r="C735">
        <v>2.1</v>
      </c>
    </row>
    <row r="736" spans="2:3" x14ac:dyDescent="0.4">
      <c r="B736">
        <v>2.2000000000000002</v>
      </c>
      <c r="C736">
        <v>1.9</v>
      </c>
    </row>
    <row r="737" spans="1:3" x14ac:dyDescent="0.4">
      <c r="B737">
        <v>2.1</v>
      </c>
      <c r="C737">
        <v>1.8</v>
      </c>
    </row>
    <row r="738" spans="1:3" x14ac:dyDescent="0.4">
      <c r="B738">
        <v>2.6</v>
      </c>
      <c r="C738">
        <v>2.2000000000000002</v>
      </c>
    </row>
    <row r="739" spans="1:3" x14ac:dyDescent="0.4">
      <c r="B739">
        <v>2.6</v>
      </c>
      <c r="C739">
        <v>2.2000000000000002</v>
      </c>
    </row>
    <row r="740" spans="1:3" x14ac:dyDescent="0.4">
      <c r="B740">
        <f ca="1">AVERAGE(B600:B740)</f>
        <v>2.3857142857142857</v>
      </c>
      <c r="C740">
        <f ca="1">AVERAGE(C600:C740)</f>
        <v>2.0092857142857143</v>
      </c>
    </row>
    <row r="742" spans="1:3" x14ac:dyDescent="0.4">
      <c r="A742" t="s">
        <v>19</v>
      </c>
      <c r="B742">
        <v>2.0499999999999998</v>
      </c>
      <c r="C742">
        <v>1.95</v>
      </c>
    </row>
    <row r="743" spans="1:3" x14ac:dyDescent="0.4">
      <c r="B743">
        <v>2.1</v>
      </c>
      <c r="C743">
        <v>2.1</v>
      </c>
    </row>
    <row r="744" spans="1:3" x14ac:dyDescent="0.4">
      <c r="B744">
        <v>1.9</v>
      </c>
      <c r="C744">
        <v>1.95</v>
      </c>
    </row>
    <row r="745" spans="1:3" x14ac:dyDescent="0.4">
      <c r="B745">
        <v>2.2999999999999998</v>
      </c>
      <c r="C745">
        <v>2</v>
      </c>
    </row>
    <row r="746" spans="1:3" x14ac:dyDescent="0.4">
      <c r="B746">
        <f>AVERAGE(B742:B745)</f>
        <v>2.0875000000000004</v>
      </c>
      <c r="C746">
        <f>AVERAGE(C742:C745)</f>
        <v>2</v>
      </c>
    </row>
    <row r="748" spans="1:3" x14ac:dyDescent="0.4">
      <c r="A748" t="s">
        <v>194</v>
      </c>
      <c r="B748">
        <v>2.2000000000000002</v>
      </c>
      <c r="C748">
        <v>1.95</v>
      </c>
    </row>
    <row r="749" spans="1:3" x14ac:dyDescent="0.4">
      <c r="B749">
        <v>1.7</v>
      </c>
      <c r="C749">
        <v>1.65</v>
      </c>
    </row>
    <row r="750" spans="1:3" x14ac:dyDescent="0.4">
      <c r="B750">
        <v>3.5</v>
      </c>
      <c r="C750">
        <v>2.2999999999999998</v>
      </c>
    </row>
    <row r="751" spans="1:3" x14ac:dyDescent="0.4">
      <c r="B751">
        <v>2.8</v>
      </c>
      <c r="C751">
        <v>2.1</v>
      </c>
    </row>
    <row r="752" spans="1:3" x14ac:dyDescent="0.4">
      <c r="B752">
        <v>2.1</v>
      </c>
      <c r="C752">
        <v>2.0499999999999998</v>
      </c>
    </row>
    <row r="753" spans="2:3" x14ac:dyDescent="0.4">
      <c r="B753">
        <v>2.9</v>
      </c>
      <c r="C753">
        <v>2.2000000000000002</v>
      </c>
    </row>
    <row r="754" spans="2:3" x14ac:dyDescent="0.4">
      <c r="B754">
        <v>2.15</v>
      </c>
      <c r="C754">
        <v>2.1</v>
      </c>
    </row>
    <row r="755" spans="2:3" x14ac:dyDescent="0.4">
      <c r="B755">
        <v>2.2000000000000002</v>
      </c>
      <c r="C755">
        <v>2.2999999999999998</v>
      </c>
    </row>
    <row r="756" spans="2:3" x14ac:dyDescent="0.4">
      <c r="B756">
        <v>2.35</v>
      </c>
      <c r="C756">
        <v>1.85</v>
      </c>
    </row>
    <row r="757" spans="2:3" x14ac:dyDescent="0.4">
      <c r="B757">
        <v>1.9</v>
      </c>
      <c r="C757">
        <v>1.95</v>
      </c>
    </row>
    <row r="758" spans="2:3" x14ac:dyDescent="0.4">
      <c r="B758">
        <v>2.1</v>
      </c>
      <c r="C758">
        <v>2.1</v>
      </c>
    </row>
    <row r="759" spans="2:3" x14ac:dyDescent="0.4">
      <c r="B759">
        <v>2.2999999999999998</v>
      </c>
      <c r="C759">
        <v>1.9</v>
      </c>
    </row>
    <row r="760" spans="2:3" x14ac:dyDescent="0.4">
      <c r="B760">
        <v>3.25</v>
      </c>
      <c r="C760">
        <v>2.4</v>
      </c>
    </row>
    <row r="761" spans="2:3" x14ac:dyDescent="0.4">
      <c r="B761">
        <v>2.65</v>
      </c>
      <c r="C761">
        <v>1.9</v>
      </c>
    </row>
    <row r="762" spans="2:3" x14ac:dyDescent="0.4">
      <c r="B762">
        <v>1.95</v>
      </c>
      <c r="C762">
        <v>1.7</v>
      </c>
    </row>
    <row r="763" spans="2:3" x14ac:dyDescent="0.4">
      <c r="B763">
        <v>3.1</v>
      </c>
      <c r="C763">
        <v>2</v>
      </c>
    </row>
    <row r="764" spans="2:3" x14ac:dyDescent="0.4">
      <c r="B764">
        <v>3.1</v>
      </c>
      <c r="C764">
        <v>2.1</v>
      </c>
    </row>
    <row r="765" spans="2:3" x14ac:dyDescent="0.4">
      <c r="B765">
        <v>3.35</v>
      </c>
      <c r="C765">
        <v>2.35</v>
      </c>
    </row>
    <row r="766" spans="2:3" x14ac:dyDescent="0.4">
      <c r="B766">
        <v>2.5499999999999998</v>
      </c>
      <c r="C766">
        <v>2</v>
      </c>
    </row>
    <row r="767" spans="2:3" x14ac:dyDescent="0.4">
      <c r="B767">
        <v>1.7</v>
      </c>
      <c r="C767">
        <v>1.95</v>
      </c>
    </row>
    <row r="768" spans="2:3" x14ac:dyDescent="0.4">
      <c r="B768">
        <v>1.5</v>
      </c>
      <c r="C768">
        <v>1.6</v>
      </c>
    </row>
    <row r="769" spans="2:3" x14ac:dyDescent="0.4">
      <c r="B769">
        <v>1.45</v>
      </c>
      <c r="C769">
        <v>1.9</v>
      </c>
    </row>
    <row r="770" spans="2:3" x14ac:dyDescent="0.4">
      <c r="B770">
        <v>2</v>
      </c>
      <c r="C770">
        <v>1.5</v>
      </c>
    </row>
    <row r="771" spans="2:3" x14ac:dyDescent="0.4">
      <c r="B771">
        <v>2.85</v>
      </c>
      <c r="C771">
        <v>2.2000000000000002</v>
      </c>
    </row>
    <row r="772" spans="2:3" x14ac:dyDescent="0.4">
      <c r="B772">
        <v>1.8</v>
      </c>
      <c r="C772">
        <v>2.1</v>
      </c>
    </row>
    <row r="773" spans="2:3" x14ac:dyDescent="0.4">
      <c r="B773">
        <v>3.05</v>
      </c>
      <c r="C773">
        <v>2.2000000000000002</v>
      </c>
    </row>
    <row r="774" spans="2:3" x14ac:dyDescent="0.4">
      <c r="B774">
        <v>3</v>
      </c>
      <c r="C774">
        <v>2.25</v>
      </c>
    </row>
    <row r="775" spans="2:3" x14ac:dyDescent="0.4">
      <c r="B775">
        <v>1.95</v>
      </c>
      <c r="C775">
        <v>2</v>
      </c>
    </row>
    <row r="776" spans="2:3" x14ac:dyDescent="0.4">
      <c r="B776">
        <v>1.9</v>
      </c>
      <c r="C776">
        <v>2.0499999999999998</v>
      </c>
    </row>
    <row r="777" spans="2:3" x14ac:dyDescent="0.4">
      <c r="B777">
        <v>3</v>
      </c>
      <c r="C777">
        <v>2.1</v>
      </c>
    </row>
    <row r="778" spans="2:3" x14ac:dyDescent="0.4">
      <c r="B778">
        <v>1.6</v>
      </c>
      <c r="C778">
        <v>1.9</v>
      </c>
    </row>
    <row r="779" spans="2:3" x14ac:dyDescent="0.4">
      <c r="B779">
        <v>1.85</v>
      </c>
      <c r="C779">
        <v>1.9</v>
      </c>
    </row>
    <row r="780" spans="2:3" x14ac:dyDescent="0.4">
      <c r="B780">
        <v>2</v>
      </c>
      <c r="C780">
        <v>1.9</v>
      </c>
    </row>
    <row r="781" spans="2:3" x14ac:dyDescent="0.4">
      <c r="B781">
        <v>1.6</v>
      </c>
      <c r="C781">
        <v>1.75</v>
      </c>
    </row>
    <row r="782" spans="2:3" x14ac:dyDescent="0.4">
      <c r="B782">
        <v>2.4500000000000002</v>
      </c>
      <c r="C782">
        <v>2.1</v>
      </c>
    </row>
    <row r="783" spans="2:3" x14ac:dyDescent="0.4">
      <c r="B783">
        <v>1.8</v>
      </c>
      <c r="C783">
        <v>2.1</v>
      </c>
    </row>
    <row r="784" spans="2:3" x14ac:dyDescent="0.4">
      <c r="B784">
        <v>3</v>
      </c>
      <c r="C784">
        <v>2.1</v>
      </c>
    </row>
    <row r="785" spans="2:3" x14ac:dyDescent="0.4">
      <c r="B785">
        <v>2</v>
      </c>
      <c r="C785">
        <v>1.65</v>
      </c>
    </row>
    <row r="786" spans="2:3" x14ac:dyDescent="0.4">
      <c r="B786">
        <v>1.95</v>
      </c>
      <c r="C786">
        <v>2</v>
      </c>
    </row>
    <row r="787" spans="2:3" x14ac:dyDescent="0.4">
      <c r="B787">
        <v>1.9</v>
      </c>
      <c r="C787">
        <v>2.1</v>
      </c>
    </row>
    <row r="788" spans="2:3" x14ac:dyDescent="0.4">
      <c r="B788">
        <v>1.7</v>
      </c>
      <c r="C788">
        <v>1.9</v>
      </c>
    </row>
    <row r="789" spans="2:3" x14ac:dyDescent="0.4">
      <c r="B789">
        <v>1.7</v>
      </c>
      <c r="C789">
        <v>1.9</v>
      </c>
    </row>
    <row r="790" spans="2:3" x14ac:dyDescent="0.4">
      <c r="B790">
        <v>2.4</v>
      </c>
      <c r="C790">
        <v>1.85</v>
      </c>
    </row>
    <row r="791" spans="2:3" x14ac:dyDescent="0.4">
      <c r="B791">
        <v>1.4</v>
      </c>
      <c r="C791">
        <v>1.8</v>
      </c>
    </row>
    <row r="792" spans="2:3" x14ac:dyDescent="0.4">
      <c r="B792">
        <v>1.5</v>
      </c>
      <c r="C792">
        <v>1.6</v>
      </c>
    </row>
    <row r="793" spans="2:3" x14ac:dyDescent="0.4">
      <c r="B793">
        <v>2.2999999999999998</v>
      </c>
      <c r="C793">
        <v>1.8</v>
      </c>
    </row>
    <row r="794" spans="2:3" x14ac:dyDescent="0.4">
      <c r="B794">
        <v>1.5</v>
      </c>
      <c r="C794">
        <v>1.9</v>
      </c>
    </row>
    <row r="795" spans="2:3" x14ac:dyDescent="0.4">
      <c r="B795">
        <v>1.7</v>
      </c>
      <c r="C795">
        <v>2</v>
      </c>
    </row>
    <row r="796" spans="2:3" x14ac:dyDescent="0.4">
      <c r="B796">
        <v>1.8</v>
      </c>
      <c r="C796">
        <v>1.6</v>
      </c>
    </row>
    <row r="797" spans="2:3" x14ac:dyDescent="0.4">
      <c r="B797">
        <v>1.6</v>
      </c>
      <c r="C797">
        <v>1.8</v>
      </c>
    </row>
    <row r="798" spans="2:3" x14ac:dyDescent="0.4">
      <c r="B798">
        <v>1.65</v>
      </c>
      <c r="C798">
        <v>1.8</v>
      </c>
    </row>
    <row r="799" spans="2:3" x14ac:dyDescent="0.4">
      <c r="B799">
        <v>1.8</v>
      </c>
      <c r="C799">
        <v>2.0499999999999998</v>
      </c>
    </row>
    <row r="800" spans="2:3" x14ac:dyDescent="0.4">
      <c r="B800">
        <v>1.35</v>
      </c>
      <c r="C800">
        <v>1.6</v>
      </c>
    </row>
    <row r="801" spans="2:3" x14ac:dyDescent="0.4">
      <c r="B801">
        <v>2.85</v>
      </c>
      <c r="C801">
        <v>2</v>
      </c>
    </row>
    <row r="802" spans="2:3" x14ac:dyDescent="0.4">
      <c r="B802">
        <v>1.7</v>
      </c>
      <c r="C802">
        <v>1.9</v>
      </c>
    </row>
    <row r="803" spans="2:3" x14ac:dyDescent="0.4">
      <c r="B803">
        <v>1.85</v>
      </c>
      <c r="C803">
        <v>1.8</v>
      </c>
    </row>
    <row r="804" spans="2:3" x14ac:dyDescent="0.4">
      <c r="B804">
        <v>2.4</v>
      </c>
      <c r="C804">
        <v>2.35</v>
      </c>
    </row>
    <row r="805" spans="2:3" x14ac:dyDescent="0.4">
      <c r="B805">
        <v>1.4</v>
      </c>
      <c r="C805">
        <v>1.6</v>
      </c>
    </row>
    <row r="806" spans="2:3" x14ac:dyDescent="0.4">
      <c r="B806">
        <v>1.65</v>
      </c>
      <c r="C806">
        <v>1.85</v>
      </c>
    </row>
    <row r="807" spans="2:3" x14ac:dyDescent="0.4">
      <c r="B807">
        <v>2.25</v>
      </c>
      <c r="C807">
        <v>1.75</v>
      </c>
    </row>
    <row r="808" spans="2:3" x14ac:dyDescent="0.4">
      <c r="B808">
        <v>1.55</v>
      </c>
      <c r="C808">
        <v>1.8</v>
      </c>
    </row>
    <row r="809" spans="2:3" x14ac:dyDescent="0.4">
      <c r="B809">
        <v>1.75</v>
      </c>
      <c r="C809">
        <v>1.8</v>
      </c>
    </row>
    <row r="810" spans="2:3" x14ac:dyDescent="0.4">
      <c r="B810">
        <v>1.7</v>
      </c>
      <c r="C810">
        <v>1.7</v>
      </c>
    </row>
    <row r="811" spans="2:3" x14ac:dyDescent="0.4">
      <c r="B811">
        <v>2.25</v>
      </c>
      <c r="C811">
        <v>2.1</v>
      </c>
    </row>
    <row r="812" spans="2:3" x14ac:dyDescent="0.4">
      <c r="B812">
        <v>1.35</v>
      </c>
      <c r="C812">
        <v>1.6</v>
      </c>
    </row>
    <row r="813" spans="2:3" x14ac:dyDescent="0.4">
      <c r="B813">
        <v>1.4</v>
      </c>
      <c r="C813">
        <v>1.7</v>
      </c>
    </row>
    <row r="814" spans="2:3" x14ac:dyDescent="0.4">
      <c r="B814">
        <v>1.75</v>
      </c>
      <c r="C814">
        <v>1.95</v>
      </c>
    </row>
    <row r="815" spans="2:3" x14ac:dyDescent="0.4">
      <c r="B815">
        <v>1.6</v>
      </c>
      <c r="C815">
        <v>1.85</v>
      </c>
    </row>
    <row r="816" spans="2:3" x14ac:dyDescent="0.4">
      <c r="B816">
        <v>1.7</v>
      </c>
      <c r="C816">
        <v>1.8</v>
      </c>
    </row>
    <row r="817" spans="2:3" x14ac:dyDescent="0.4">
      <c r="B817">
        <v>2</v>
      </c>
      <c r="C817">
        <v>1.85</v>
      </c>
    </row>
    <row r="818" spans="2:3" x14ac:dyDescent="0.4">
      <c r="B818">
        <v>1.4</v>
      </c>
      <c r="C818">
        <v>1.7</v>
      </c>
    </row>
    <row r="819" spans="2:3" x14ac:dyDescent="0.4">
      <c r="B819">
        <v>2.5499999999999998</v>
      </c>
      <c r="C819">
        <v>1.9</v>
      </c>
    </row>
    <row r="820" spans="2:3" x14ac:dyDescent="0.4">
      <c r="B820">
        <v>1.3</v>
      </c>
      <c r="C820">
        <v>1.7</v>
      </c>
    </row>
    <row r="821" spans="2:3" x14ac:dyDescent="0.4">
      <c r="B821">
        <v>1.65</v>
      </c>
      <c r="C821">
        <v>2</v>
      </c>
    </row>
    <row r="822" spans="2:3" x14ac:dyDescent="0.4">
      <c r="B822">
        <v>2</v>
      </c>
      <c r="C822">
        <v>2</v>
      </c>
    </row>
    <row r="823" spans="2:3" x14ac:dyDescent="0.4">
      <c r="B823">
        <v>1.8</v>
      </c>
      <c r="C823">
        <v>1.8</v>
      </c>
    </row>
    <row r="824" spans="2:3" x14ac:dyDescent="0.4">
      <c r="B824">
        <v>1.8</v>
      </c>
      <c r="C824">
        <v>1.95</v>
      </c>
    </row>
    <row r="825" spans="2:3" x14ac:dyDescent="0.4">
      <c r="B825">
        <v>1.9</v>
      </c>
      <c r="C825">
        <v>1.9</v>
      </c>
    </row>
    <row r="826" spans="2:3" x14ac:dyDescent="0.4">
      <c r="B826">
        <v>1.6</v>
      </c>
      <c r="C826">
        <v>1.8</v>
      </c>
    </row>
    <row r="827" spans="2:3" x14ac:dyDescent="0.4">
      <c r="B827">
        <v>2.5499999999999998</v>
      </c>
      <c r="C827">
        <v>2.0499999999999998</v>
      </c>
    </row>
    <row r="828" spans="2:3" x14ac:dyDescent="0.4">
      <c r="B828">
        <v>1.6</v>
      </c>
      <c r="C828">
        <v>1.85</v>
      </c>
    </row>
    <row r="829" spans="2:3" x14ac:dyDescent="0.4">
      <c r="B829">
        <v>1.3</v>
      </c>
      <c r="C829">
        <v>1.7</v>
      </c>
    </row>
    <row r="830" spans="2:3" x14ac:dyDescent="0.4">
      <c r="B830">
        <v>1.65</v>
      </c>
      <c r="C830">
        <v>1.9</v>
      </c>
    </row>
    <row r="831" spans="2:3" x14ac:dyDescent="0.4">
      <c r="B831">
        <v>1.5</v>
      </c>
      <c r="C831">
        <v>1.6</v>
      </c>
    </row>
    <row r="832" spans="2:3" x14ac:dyDescent="0.4">
      <c r="B832">
        <v>1.75</v>
      </c>
      <c r="C832">
        <v>1.8</v>
      </c>
    </row>
    <row r="833" spans="2:3" x14ac:dyDescent="0.4">
      <c r="B833">
        <v>1.7</v>
      </c>
      <c r="C833">
        <v>2</v>
      </c>
    </row>
    <row r="834" spans="2:3" x14ac:dyDescent="0.4">
      <c r="B834">
        <v>1.55</v>
      </c>
      <c r="C834">
        <v>1.65</v>
      </c>
    </row>
    <row r="835" spans="2:3" x14ac:dyDescent="0.4">
      <c r="B835">
        <v>1.7</v>
      </c>
      <c r="C835">
        <v>1.6</v>
      </c>
    </row>
    <row r="836" spans="2:3" x14ac:dyDescent="0.4">
      <c r="B836">
        <v>2.15</v>
      </c>
      <c r="C836">
        <v>1.9</v>
      </c>
    </row>
    <row r="837" spans="2:3" x14ac:dyDescent="0.4">
      <c r="B837">
        <v>1.65</v>
      </c>
      <c r="C837">
        <v>1.5</v>
      </c>
    </row>
    <row r="838" spans="2:3" x14ac:dyDescent="0.4">
      <c r="B838">
        <v>1.3</v>
      </c>
      <c r="C838">
        <v>1.7</v>
      </c>
    </row>
    <row r="839" spans="2:3" x14ac:dyDescent="0.4">
      <c r="B839">
        <v>1.7</v>
      </c>
      <c r="C839">
        <v>1.95</v>
      </c>
    </row>
    <row r="840" spans="2:3" x14ac:dyDescent="0.4">
      <c r="B840">
        <v>2.0499999999999998</v>
      </c>
      <c r="C840">
        <v>2.0499999999999998</v>
      </c>
    </row>
    <row r="841" spans="2:3" x14ac:dyDescent="0.4">
      <c r="B841">
        <v>0.95</v>
      </c>
      <c r="C841">
        <v>1.3</v>
      </c>
    </row>
    <row r="842" spans="2:3" x14ac:dyDescent="0.4">
      <c r="B842">
        <v>1.9</v>
      </c>
      <c r="C842">
        <v>1.95</v>
      </c>
    </row>
    <row r="843" spans="2:3" x14ac:dyDescent="0.4">
      <c r="B843">
        <v>1.2</v>
      </c>
      <c r="C843">
        <v>1.6</v>
      </c>
    </row>
    <row r="844" spans="2:3" x14ac:dyDescent="0.4">
      <c r="B844">
        <v>1.7</v>
      </c>
      <c r="C844">
        <v>1.9</v>
      </c>
    </row>
    <row r="845" spans="2:3" x14ac:dyDescent="0.4">
      <c r="B845">
        <v>1.6</v>
      </c>
      <c r="C845">
        <v>1.7</v>
      </c>
    </row>
    <row r="846" spans="2:3" x14ac:dyDescent="0.4">
      <c r="B846">
        <v>1.9</v>
      </c>
      <c r="C846">
        <v>2.1</v>
      </c>
    </row>
    <row r="847" spans="2:3" x14ac:dyDescent="0.4">
      <c r="B847">
        <v>1.6</v>
      </c>
      <c r="C847">
        <v>1.9</v>
      </c>
    </row>
    <row r="848" spans="2:3" x14ac:dyDescent="0.4">
      <c r="B848">
        <v>1.7</v>
      </c>
      <c r="C848">
        <v>1.8</v>
      </c>
    </row>
    <row r="849" spans="2:3" x14ac:dyDescent="0.4">
      <c r="B849">
        <v>1.6</v>
      </c>
      <c r="C849">
        <v>1.55</v>
      </c>
    </row>
    <row r="850" spans="2:3" x14ac:dyDescent="0.4">
      <c r="B850">
        <v>1.65</v>
      </c>
      <c r="C850">
        <v>1.7</v>
      </c>
    </row>
    <row r="851" spans="2:3" x14ac:dyDescent="0.4">
      <c r="B851">
        <v>1.7</v>
      </c>
      <c r="C851">
        <v>1.8</v>
      </c>
    </row>
    <row r="852" spans="2:3" x14ac:dyDescent="0.4">
      <c r="B852">
        <v>1.8</v>
      </c>
      <c r="C852">
        <v>1.95</v>
      </c>
    </row>
    <row r="853" spans="2:3" x14ac:dyDescent="0.4">
      <c r="B853">
        <v>1.4</v>
      </c>
      <c r="C853">
        <v>1.75</v>
      </c>
    </row>
    <row r="854" spans="2:3" x14ac:dyDescent="0.4">
      <c r="B854">
        <v>1.1499999999999999</v>
      </c>
      <c r="C854">
        <v>1.6</v>
      </c>
    </row>
    <row r="855" spans="2:3" x14ac:dyDescent="0.4">
      <c r="B855">
        <v>1.1000000000000001</v>
      </c>
      <c r="C855">
        <v>1.55</v>
      </c>
    </row>
    <row r="856" spans="2:3" x14ac:dyDescent="0.4">
      <c r="B856">
        <v>1.7</v>
      </c>
      <c r="C856">
        <v>1.85</v>
      </c>
    </row>
    <row r="857" spans="2:3" x14ac:dyDescent="0.4">
      <c r="B857">
        <v>1.65</v>
      </c>
      <c r="C857">
        <v>1.75</v>
      </c>
    </row>
    <row r="858" spans="2:3" x14ac:dyDescent="0.4">
      <c r="B858">
        <v>2</v>
      </c>
      <c r="C858">
        <v>1.9</v>
      </c>
    </row>
    <row r="859" spans="2:3" x14ac:dyDescent="0.4">
      <c r="B859">
        <v>1.9</v>
      </c>
      <c r="C859">
        <v>2</v>
      </c>
    </row>
    <row r="860" spans="2:3" x14ac:dyDescent="0.4">
      <c r="B860">
        <v>1.3</v>
      </c>
      <c r="C860">
        <v>1.3</v>
      </c>
    </row>
    <row r="861" spans="2:3" x14ac:dyDescent="0.4">
      <c r="B861">
        <v>1.8</v>
      </c>
      <c r="C861">
        <v>2</v>
      </c>
    </row>
    <row r="862" spans="2:3" x14ac:dyDescent="0.4">
      <c r="B862">
        <v>1.8</v>
      </c>
      <c r="C862">
        <v>1.7</v>
      </c>
    </row>
    <row r="863" spans="2:3" x14ac:dyDescent="0.4">
      <c r="B863">
        <v>2.4</v>
      </c>
      <c r="C863">
        <v>1.9</v>
      </c>
    </row>
    <row r="864" spans="2:3" x14ac:dyDescent="0.4">
      <c r="B864">
        <v>1.6</v>
      </c>
      <c r="C864">
        <v>2</v>
      </c>
    </row>
    <row r="865" spans="1:3" x14ac:dyDescent="0.4">
      <c r="B865">
        <v>2.2000000000000002</v>
      </c>
      <c r="C865">
        <v>2.1</v>
      </c>
    </row>
    <row r="866" spans="1:3" x14ac:dyDescent="0.4">
      <c r="B866">
        <f>AVERAGE(B748:B865)</f>
        <v>1.9279661016949157</v>
      </c>
      <c r="C866">
        <f>AVERAGE(C748:C865)</f>
        <v>1.8805084745762708</v>
      </c>
    </row>
    <row r="868" spans="1:3" x14ac:dyDescent="0.4">
      <c r="A868" t="s">
        <v>57</v>
      </c>
      <c r="B868">
        <v>3.2</v>
      </c>
      <c r="C868">
        <v>2.85</v>
      </c>
    </row>
    <row r="869" spans="1:3" x14ac:dyDescent="0.4">
      <c r="B869">
        <v>2.9</v>
      </c>
      <c r="C869">
        <v>1.9</v>
      </c>
    </row>
    <row r="870" spans="1:3" x14ac:dyDescent="0.4">
      <c r="B870">
        <v>3.1</v>
      </c>
      <c r="C870">
        <v>1.8</v>
      </c>
    </row>
    <row r="871" spans="1:3" x14ac:dyDescent="0.4">
      <c r="B871">
        <v>2.9</v>
      </c>
      <c r="C871">
        <v>2</v>
      </c>
    </row>
    <row r="872" spans="1:3" x14ac:dyDescent="0.4">
      <c r="B872">
        <v>3.25</v>
      </c>
      <c r="C872">
        <v>2.0499999999999998</v>
      </c>
    </row>
    <row r="873" spans="1:3" x14ac:dyDescent="0.4">
      <c r="B873">
        <v>3.2</v>
      </c>
      <c r="C873">
        <v>2.95</v>
      </c>
    </row>
    <row r="874" spans="1:3" x14ac:dyDescent="0.4">
      <c r="B874">
        <v>2.8</v>
      </c>
      <c r="C874">
        <v>2</v>
      </c>
    </row>
    <row r="875" spans="1:3" x14ac:dyDescent="0.4">
      <c r="B875">
        <v>2.4</v>
      </c>
      <c r="C875">
        <v>1.95</v>
      </c>
    </row>
    <row r="876" spans="1:3" x14ac:dyDescent="0.4">
      <c r="B876">
        <v>3</v>
      </c>
      <c r="C876">
        <v>2</v>
      </c>
    </row>
    <row r="877" spans="1:3" x14ac:dyDescent="0.4">
      <c r="B877">
        <v>2.9</v>
      </c>
      <c r="C877">
        <v>2</v>
      </c>
    </row>
    <row r="878" spans="1:3" x14ac:dyDescent="0.4">
      <c r="B878">
        <v>3.05</v>
      </c>
      <c r="C878">
        <v>1.9</v>
      </c>
    </row>
    <row r="879" spans="1:3" x14ac:dyDescent="0.4">
      <c r="B879">
        <v>3.2</v>
      </c>
      <c r="C879">
        <v>1.9</v>
      </c>
    </row>
    <row r="880" spans="1:3" x14ac:dyDescent="0.4">
      <c r="B880">
        <v>2.8</v>
      </c>
      <c r="C880">
        <v>1.75</v>
      </c>
    </row>
    <row r="881" spans="1:3" x14ac:dyDescent="0.4">
      <c r="B881">
        <f>AVERAGE(B868:B880)</f>
        <v>2.9769230769230766</v>
      </c>
      <c r="C881">
        <f>AVERAGE(C868:C880)</f>
        <v>2.0807692307692305</v>
      </c>
    </row>
    <row r="883" spans="1:3" x14ac:dyDescent="0.4">
      <c r="A883" t="s">
        <v>89</v>
      </c>
      <c r="B883">
        <v>3.1</v>
      </c>
      <c r="C883">
        <v>2.2999999999999998</v>
      </c>
    </row>
    <row r="884" spans="1:3" x14ac:dyDescent="0.4">
      <c r="B884">
        <v>2.7</v>
      </c>
      <c r="C884">
        <v>2.4500000000000002</v>
      </c>
    </row>
    <row r="885" spans="1:3" x14ac:dyDescent="0.4">
      <c r="B885">
        <v>2.8</v>
      </c>
      <c r="C885">
        <v>2.2000000000000002</v>
      </c>
    </row>
    <row r="886" spans="1:3" x14ac:dyDescent="0.4">
      <c r="B886">
        <v>2.85</v>
      </c>
      <c r="C886">
        <v>2.5</v>
      </c>
    </row>
    <row r="887" spans="1:3" x14ac:dyDescent="0.4">
      <c r="B887">
        <v>2.65</v>
      </c>
      <c r="C887">
        <v>2.7</v>
      </c>
    </row>
    <row r="888" spans="1:3" x14ac:dyDescent="0.4">
      <c r="B888">
        <f>AVERAGE(B883:B887)</f>
        <v>2.8200000000000003</v>
      </c>
      <c r="C888">
        <f>AVERAGE(C883:C887)</f>
        <v>2.4299999999999997</v>
      </c>
    </row>
    <row r="890" spans="1:3" x14ac:dyDescent="0.4">
      <c r="A890" t="s">
        <v>124</v>
      </c>
      <c r="B890">
        <v>2.6</v>
      </c>
      <c r="C890">
        <v>1.7</v>
      </c>
    </row>
    <row r="891" spans="1:3" x14ac:dyDescent="0.4">
      <c r="B891">
        <v>1.8</v>
      </c>
      <c r="C891">
        <v>1.9</v>
      </c>
    </row>
    <row r="892" spans="1:3" x14ac:dyDescent="0.4">
      <c r="B892">
        <v>2.5</v>
      </c>
      <c r="C892">
        <v>2.1</v>
      </c>
    </row>
    <row r="893" spans="1:3" x14ac:dyDescent="0.4">
      <c r="B893">
        <v>2.5499999999999998</v>
      </c>
      <c r="C893">
        <v>2.0499999999999998</v>
      </c>
    </row>
    <row r="894" spans="1:3" x14ac:dyDescent="0.4">
      <c r="B894">
        <v>2.2000000000000002</v>
      </c>
      <c r="C894">
        <v>2</v>
      </c>
    </row>
    <row r="895" spans="1:3" x14ac:dyDescent="0.4">
      <c r="B895">
        <v>2.5</v>
      </c>
      <c r="C895">
        <v>2.1</v>
      </c>
    </row>
    <row r="896" spans="1:3" x14ac:dyDescent="0.4">
      <c r="B896">
        <f>AVERAGE(B890:B895)</f>
        <v>2.3583333333333329</v>
      </c>
      <c r="C896">
        <f>AVERAGE(C890:C895)</f>
        <v>1.9749999999999999</v>
      </c>
    </row>
    <row r="898" spans="1:3" x14ac:dyDescent="0.4">
      <c r="A898" t="s">
        <v>93</v>
      </c>
      <c r="B898">
        <v>2</v>
      </c>
      <c r="C898">
        <v>1.7</v>
      </c>
    </row>
    <row r="899" spans="1:3" x14ac:dyDescent="0.4">
      <c r="B899">
        <v>2.2000000000000002</v>
      </c>
      <c r="C899">
        <v>1.9</v>
      </c>
    </row>
    <row r="900" spans="1:3" x14ac:dyDescent="0.4">
      <c r="B900">
        <v>2.8</v>
      </c>
      <c r="C900">
        <v>1.9</v>
      </c>
    </row>
    <row r="901" spans="1:3" x14ac:dyDescent="0.4">
      <c r="B901">
        <v>2.4</v>
      </c>
      <c r="C901">
        <v>1.9</v>
      </c>
    </row>
    <row r="902" spans="1:3" x14ac:dyDescent="0.4">
      <c r="B902">
        <v>2.8</v>
      </c>
      <c r="C902">
        <v>1.85</v>
      </c>
    </row>
    <row r="903" spans="1:3" x14ac:dyDescent="0.4">
      <c r="B903">
        <v>1.75</v>
      </c>
      <c r="C903">
        <v>1.6</v>
      </c>
    </row>
    <row r="904" spans="1:3" x14ac:dyDescent="0.4">
      <c r="B904">
        <v>2.5</v>
      </c>
      <c r="C904">
        <v>1.9</v>
      </c>
    </row>
    <row r="905" spans="1:3" x14ac:dyDescent="0.4">
      <c r="B905">
        <v>2.4500000000000002</v>
      </c>
      <c r="C905">
        <v>1.7</v>
      </c>
    </row>
    <row r="906" spans="1:3" x14ac:dyDescent="0.4">
      <c r="B906">
        <f>AVERAGE(B898:B905)</f>
        <v>2.3624999999999998</v>
      </c>
      <c r="C906">
        <f>AVERAGE(C898:C905)</f>
        <v>1.8062499999999999</v>
      </c>
    </row>
    <row r="908" spans="1:3" x14ac:dyDescent="0.4">
      <c r="A908" t="s">
        <v>111</v>
      </c>
      <c r="B908">
        <v>2.35</v>
      </c>
      <c r="C908">
        <v>1.9</v>
      </c>
    </row>
    <row r="909" spans="1:3" x14ac:dyDescent="0.4">
      <c r="B909">
        <v>1.7</v>
      </c>
      <c r="C909">
        <v>1.65</v>
      </c>
    </row>
    <row r="910" spans="1:3" x14ac:dyDescent="0.4">
      <c r="B910">
        <f>AVERAGE(B908:B909)</f>
        <v>2.0249999999999999</v>
      </c>
      <c r="C910">
        <f>AVERAGE(C908:C909)</f>
        <v>1.7749999999999999</v>
      </c>
    </row>
    <row r="912" spans="1:3" x14ac:dyDescent="0.4">
      <c r="A912" t="s">
        <v>119</v>
      </c>
      <c r="B912">
        <v>2.4</v>
      </c>
      <c r="C912">
        <v>1.95</v>
      </c>
    </row>
    <row r="913" spans="1:3" x14ac:dyDescent="0.4">
      <c r="B913">
        <v>2.2999999999999998</v>
      </c>
      <c r="C913">
        <v>1.8</v>
      </c>
    </row>
    <row r="914" spans="1:3" x14ac:dyDescent="0.4">
      <c r="B914">
        <v>2.4</v>
      </c>
      <c r="C914">
        <v>1.9</v>
      </c>
    </row>
    <row r="915" spans="1:3" x14ac:dyDescent="0.4">
      <c r="B915">
        <f>AVERAGE(B912:B914)</f>
        <v>2.3666666666666667</v>
      </c>
      <c r="C915">
        <f>AVERAGE(C912:C914)</f>
        <v>1.8833333333333335</v>
      </c>
    </row>
    <row r="917" spans="1:3" x14ac:dyDescent="0.4">
      <c r="A917" t="s">
        <v>120</v>
      </c>
      <c r="B917">
        <v>2.4500000000000002</v>
      </c>
      <c r="C917">
        <v>2.4</v>
      </c>
    </row>
    <row r="918" spans="1:3" x14ac:dyDescent="0.4">
      <c r="B918">
        <v>2.5</v>
      </c>
      <c r="C918">
        <v>2.5</v>
      </c>
    </row>
    <row r="919" spans="1:3" x14ac:dyDescent="0.4">
      <c r="B919">
        <v>2.2999999999999998</v>
      </c>
      <c r="C919">
        <v>1.95</v>
      </c>
    </row>
    <row r="920" spans="1:3" x14ac:dyDescent="0.4">
      <c r="B920">
        <v>2.1</v>
      </c>
      <c r="C920">
        <v>2</v>
      </c>
    </row>
    <row r="921" spans="1:3" x14ac:dyDescent="0.4">
      <c r="B921">
        <f>AVERAGE(B917:B920)</f>
        <v>2.3374999999999999</v>
      </c>
      <c r="C921">
        <f>AVERAGE(C917:C920)</f>
        <v>2.2125000000000004</v>
      </c>
    </row>
    <row r="923" spans="1:3" x14ac:dyDescent="0.4">
      <c r="A923" t="s">
        <v>62</v>
      </c>
      <c r="B923">
        <v>3.1</v>
      </c>
      <c r="C923">
        <v>2.4500000000000002</v>
      </c>
    </row>
    <row r="924" spans="1:3" x14ac:dyDescent="0.4">
      <c r="B924">
        <v>2.95</v>
      </c>
      <c r="C924">
        <v>2.2999999999999998</v>
      </c>
    </row>
    <row r="925" spans="1:3" x14ac:dyDescent="0.4">
      <c r="B925">
        <v>3.25</v>
      </c>
      <c r="C925">
        <v>2.4</v>
      </c>
    </row>
    <row r="926" spans="1:3" x14ac:dyDescent="0.4">
      <c r="B926">
        <v>2.4</v>
      </c>
      <c r="C926">
        <v>2.2999999999999998</v>
      </c>
    </row>
    <row r="927" spans="1:3" x14ac:dyDescent="0.4">
      <c r="B927">
        <f>AVERAGE(B923:B926)</f>
        <v>2.9250000000000003</v>
      </c>
      <c r="C927">
        <f>AVERAGE(C923:C926)</f>
        <v>2.3624999999999998</v>
      </c>
    </row>
    <row r="929" spans="1:3" x14ac:dyDescent="0.4">
      <c r="A929" t="s">
        <v>58</v>
      </c>
      <c r="B929">
        <v>1.9</v>
      </c>
      <c r="C929">
        <v>2</v>
      </c>
    </row>
    <row r="930" spans="1:3" x14ac:dyDescent="0.4">
      <c r="B930">
        <v>1.8</v>
      </c>
      <c r="C930">
        <v>1.6</v>
      </c>
    </row>
    <row r="931" spans="1:3" x14ac:dyDescent="0.4">
      <c r="B931">
        <v>1.9</v>
      </c>
      <c r="C931">
        <v>1.5</v>
      </c>
    </row>
    <row r="932" spans="1:3" x14ac:dyDescent="0.4">
      <c r="B932">
        <v>1.5</v>
      </c>
      <c r="C932">
        <v>1.6</v>
      </c>
    </row>
    <row r="933" spans="1:3" x14ac:dyDescent="0.4">
      <c r="B933">
        <v>1.8</v>
      </c>
      <c r="C933">
        <v>1.7</v>
      </c>
    </row>
    <row r="934" spans="1:3" x14ac:dyDescent="0.4">
      <c r="B934">
        <v>2.4</v>
      </c>
      <c r="C934">
        <v>1.7</v>
      </c>
    </row>
    <row r="935" spans="1:3" x14ac:dyDescent="0.4">
      <c r="B935">
        <f>AVERAGE(B929:B934)</f>
        <v>1.8833333333333335</v>
      </c>
      <c r="C935">
        <f>AVERAGE(C929:C934)</f>
        <v>1.6833333333333329</v>
      </c>
    </row>
    <row r="937" spans="1:3" x14ac:dyDescent="0.4">
      <c r="A937" t="s">
        <v>61</v>
      </c>
      <c r="B937">
        <v>2.4</v>
      </c>
      <c r="C937">
        <v>1.55</v>
      </c>
    </row>
    <row r="938" spans="1:3" x14ac:dyDescent="0.4">
      <c r="B938">
        <v>2.8</v>
      </c>
      <c r="C938">
        <v>1.6</v>
      </c>
    </row>
    <row r="939" spans="1:3" x14ac:dyDescent="0.4">
      <c r="B939">
        <v>2.6</v>
      </c>
      <c r="C939">
        <v>1.7</v>
      </c>
    </row>
    <row r="940" spans="1:3" x14ac:dyDescent="0.4">
      <c r="B940">
        <v>3.2</v>
      </c>
      <c r="C940">
        <v>1.6</v>
      </c>
    </row>
    <row r="941" spans="1:3" x14ac:dyDescent="0.4">
      <c r="B941">
        <v>2.75</v>
      </c>
      <c r="C941">
        <v>1.5</v>
      </c>
    </row>
    <row r="942" spans="1:3" x14ac:dyDescent="0.4">
      <c r="B942">
        <f>AVERAGE(B937:B941)</f>
        <v>2.75</v>
      </c>
      <c r="C942">
        <f>AVERAGE(C937:C941)</f>
        <v>1.5900000000000003</v>
      </c>
    </row>
    <row r="944" spans="1:3" x14ac:dyDescent="0.4">
      <c r="A944" t="s">
        <v>40</v>
      </c>
      <c r="B944">
        <v>2.8</v>
      </c>
      <c r="C944">
        <v>2.4</v>
      </c>
    </row>
    <row r="945" spans="1:3" x14ac:dyDescent="0.4">
      <c r="B945">
        <v>2.4500000000000002</v>
      </c>
      <c r="C945">
        <v>2.2000000000000002</v>
      </c>
    </row>
    <row r="946" spans="1:3" x14ac:dyDescent="0.4">
      <c r="B946">
        <v>2.4500000000000002</v>
      </c>
      <c r="C946">
        <v>2.15</v>
      </c>
    </row>
    <row r="947" spans="1:3" x14ac:dyDescent="0.4">
      <c r="B947">
        <v>2.1</v>
      </c>
      <c r="C947">
        <v>1.8</v>
      </c>
    </row>
    <row r="948" spans="1:3" x14ac:dyDescent="0.4">
      <c r="B948">
        <v>2.0499999999999998</v>
      </c>
      <c r="C948">
        <v>2</v>
      </c>
    </row>
    <row r="949" spans="1:3" x14ac:dyDescent="0.4">
      <c r="B949">
        <f>AVERAGE(B944:B948)</f>
        <v>2.37</v>
      </c>
      <c r="C949">
        <f>AVERAGE(C944:C948)</f>
        <v>2.1100000000000003</v>
      </c>
    </row>
    <row r="951" spans="1:3" x14ac:dyDescent="0.4">
      <c r="A951" t="s">
        <v>38</v>
      </c>
      <c r="B951">
        <v>2.2999999999999998</v>
      </c>
      <c r="C951">
        <v>1.9</v>
      </c>
    </row>
    <row r="952" spans="1:3" x14ac:dyDescent="0.4">
      <c r="B952">
        <v>1.9</v>
      </c>
      <c r="C952">
        <v>2</v>
      </c>
    </row>
    <row r="953" spans="1:3" x14ac:dyDescent="0.4">
      <c r="B953">
        <v>2.35</v>
      </c>
      <c r="C953">
        <v>2</v>
      </c>
    </row>
    <row r="954" spans="1:3" x14ac:dyDescent="0.4">
      <c r="B954">
        <v>2.8</v>
      </c>
      <c r="C954">
        <v>2.2000000000000002</v>
      </c>
    </row>
    <row r="955" spans="1:3" x14ac:dyDescent="0.4">
      <c r="B955">
        <f>AVERAGE(B951:B954)</f>
        <v>2.3374999999999995</v>
      </c>
      <c r="C955">
        <f>AVERAGE(C951:C954)</f>
        <v>2.0250000000000004</v>
      </c>
    </row>
    <row r="957" spans="1:3" x14ac:dyDescent="0.4">
      <c r="A957" t="s">
        <v>59</v>
      </c>
      <c r="B957">
        <v>2.15</v>
      </c>
      <c r="C957">
        <v>1.6</v>
      </c>
    </row>
    <row r="958" spans="1:3" x14ac:dyDescent="0.4">
      <c r="B958">
        <v>2.15</v>
      </c>
      <c r="C958">
        <v>1.6</v>
      </c>
    </row>
    <row r="959" spans="1:3" x14ac:dyDescent="0.4">
      <c r="B959">
        <v>2.4</v>
      </c>
      <c r="C959">
        <v>1.7</v>
      </c>
    </row>
    <row r="960" spans="1:3" x14ac:dyDescent="0.4">
      <c r="B960">
        <v>2.4</v>
      </c>
      <c r="C960">
        <v>1.75</v>
      </c>
    </row>
    <row r="961" spans="1:3" x14ac:dyDescent="0.4">
      <c r="B961">
        <f>AVERAGE(B957:B960)</f>
        <v>2.2749999999999999</v>
      </c>
      <c r="C961">
        <f>AVERAGE(C957:C960)</f>
        <v>1.6625000000000001</v>
      </c>
    </row>
    <row r="963" spans="1:3" x14ac:dyDescent="0.4">
      <c r="A963" t="s">
        <v>49</v>
      </c>
      <c r="B963">
        <v>2.5</v>
      </c>
      <c r="C963">
        <v>1.5</v>
      </c>
    </row>
    <row r="964" spans="1:3" x14ac:dyDescent="0.4">
      <c r="B964">
        <v>1.9</v>
      </c>
      <c r="C964">
        <v>1.3</v>
      </c>
    </row>
    <row r="965" spans="1:3" x14ac:dyDescent="0.4">
      <c r="B965">
        <v>2.4</v>
      </c>
      <c r="C965">
        <v>1.4</v>
      </c>
    </row>
    <row r="966" spans="1:3" x14ac:dyDescent="0.4">
      <c r="B966">
        <v>2.65</v>
      </c>
      <c r="C966">
        <v>1.7</v>
      </c>
    </row>
    <row r="967" spans="1:3" x14ac:dyDescent="0.4">
      <c r="B967">
        <v>2.7</v>
      </c>
      <c r="C967">
        <v>1.75</v>
      </c>
    </row>
    <row r="968" spans="1:3" x14ac:dyDescent="0.4">
      <c r="B968">
        <v>2.5</v>
      </c>
      <c r="C968">
        <v>1.5</v>
      </c>
    </row>
    <row r="969" spans="1:3" x14ac:dyDescent="0.4">
      <c r="B969">
        <v>2.1</v>
      </c>
      <c r="C969">
        <v>1.4</v>
      </c>
    </row>
    <row r="970" spans="1:3" x14ac:dyDescent="0.4">
      <c r="B970">
        <v>2.2999999999999998</v>
      </c>
      <c r="C970">
        <v>1.5</v>
      </c>
    </row>
    <row r="971" spans="1:3" x14ac:dyDescent="0.4">
      <c r="B971">
        <v>2.5</v>
      </c>
      <c r="C971">
        <v>1.5</v>
      </c>
    </row>
    <row r="972" spans="1:3" x14ac:dyDescent="0.4">
      <c r="B972">
        <v>2.5</v>
      </c>
      <c r="C972">
        <v>1.45</v>
      </c>
    </row>
    <row r="973" spans="1:3" x14ac:dyDescent="0.4">
      <c r="B973">
        <v>2.4</v>
      </c>
      <c r="C973">
        <v>1.5</v>
      </c>
    </row>
    <row r="974" spans="1:3" x14ac:dyDescent="0.4">
      <c r="B974">
        <f>AVERAGE(B963:B973)</f>
        <v>2.4045454545454548</v>
      </c>
      <c r="C974">
        <f>AVERAGE(C963:C973)</f>
        <v>1.5</v>
      </c>
    </row>
    <row r="976" spans="1:3" x14ac:dyDescent="0.4">
      <c r="A976" t="s">
        <v>37</v>
      </c>
      <c r="B976">
        <v>1.85</v>
      </c>
      <c r="C976">
        <v>1.85</v>
      </c>
    </row>
    <row r="977" spans="1:3" x14ac:dyDescent="0.4">
      <c r="B977">
        <v>2</v>
      </c>
      <c r="C977">
        <v>1.6</v>
      </c>
    </row>
    <row r="978" spans="1:3" x14ac:dyDescent="0.4">
      <c r="B978">
        <v>2.2999999999999998</v>
      </c>
      <c r="C978">
        <v>2</v>
      </c>
    </row>
    <row r="979" spans="1:3" x14ac:dyDescent="0.4">
      <c r="B979">
        <v>2.15</v>
      </c>
      <c r="C979">
        <v>2.1</v>
      </c>
    </row>
    <row r="980" spans="1:3" x14ac:dyDescent="0.4">
      <c r="B980">
        <v>2.25</v>
      </c>
      <c r="C980">
        <v>2.1</v>
      </c>
    </row>
    <row r="981" spans="1:3" x14ac:dyDescent="0.4">
      <c r="B981">
        <v>1.3</v>
      </c>
      <c r="C981">
        <v>1.9</v>
      </c>
    </row>
    <row r="982" spans="1:3" x14ac:dyDescent="0.4">
      <c r="B982">
        <v>1.7</v>
      </c>
      <c r="C982">
        <v>1.9</v>
      </c>
    </row>
    <row r="983" spans="1:3" x14ac:dyDescent="0.4">
      <c r="B983">
        <v>2.2999999999999998</v>
      </c>
      <c r="C983">
        <v>2.1</v>
      </c>
    </row>
    <row r="984" spans="1:3" x14ac:dyDescent="0.4">
      <c r="B984">
        <v>2.7</v>
      </c>
      <c r="C984">
        <v>2</v>
      </c>
    </row>
    <row r="985" spans="1:3" x14ac:dyDescent="0.4">
      <c r="B985">
        <v>1.8</v>
      </c>
      <c r="C985">
        <v>2.1</v>
      </c>
    </row>
    <row r="986" spans="1:3" x14ac:dyDescent="0.4">
      <c r="B986">
        <v>2.0499999999999998</v>
      </c>
      <c r="C986">
        <v>2.1</v>
      </c>
    </row>
    <row r="987" spans="1:3" x14ac:dyDescent="0.4">
      <c r="B987">
        <v>2</v>
      </c>
      <c r="C987">
        <v>2.35</v>
      </c>
    </row>
    <row r="988" spans="1:3" x14ac:dyDescent="0.4">
      <c r="B988">
        <v>1.9</v>
      </c>
      <c r="C988">
        <v>1.95</v>
      </c>
    </row>
    <row r="989" spans="1:3" x14ac:dyDescent="0.4">
      <c r="B989">
        <f>AVERAGE(B976:B988)</f>
        <v>2.023076923076923</v>
      </c>
      <c r="C989">
        <f>AVERAGE(C976:C988)</f>
        <v>2.0038461538461543</v>
      </c>
    </row>
    <row r="991" spans="1:3" x14ac:dyDescent="0.4">
      <c r="A991" t="s">
        <v>56</v>
      </c>
      <c r="B991">
        <v>2.7</v>
      </c>
      <c r="C991">
        <v>1.9</v>
      </c>
    </row>
    <row r="992" spans="1:3" x14ac:dyDescent="0.4">
      <c r="B992">
        <v>2.8</v>
      </c>
      <c r="C992">
        <v>2.2999999999999998</v>
      </c>
    </row>
    <row r="993" spans="1:3" x14ac:dyDescent="0.4">
      <c r="B993">
        <v>2.4</v>
      </c>
      <c r="C993">
        <v>2</v>
      </c>
    </row>
    <row r="994" spans="1:3" x14ac:dyDescent="0.4">
      <c r="B994">
        <v>2.2000000000000002</v>
      </c>
      <c r="C994">
        <v>2.1</v>
      </c>
    </row>
    <row r="995" spans="1:3" x14ac:dyDescent="0.4">
      <c r="B995">
        <v>2.4</v>
      </c>
      <c r="C995">
        <v>2.2000000000000002</v>
      </c>
    </row>
    <row r="996" spans="1:3" x14ac:dyDescent="0.4">
      <c r="B996">
        <v>2.8</v>
      </c>
      <c r="C996">
        <v>2.2999999999999998</v>
      </c>
    </row>
    <row r="997" spans="1:3" x14ac:dyDescent="0.4">
      <c r="B997">
        <f>AVERAGE(B991:B996)</f>
        <v>2.5500000000000003</v>
      </c>
      <c r="C997">
        <f>AVERAGE(C991:C996)</f>
        <v>2.1333333333333333</v>
      </c>
    </row>
    <row r="999" spans="1:3" x14ac:dyDescent="0.4">
      <c r="A999" t="s">
        <v>44</v>
      </c>
      <c r="B999">
        <v>2.1</v>
      </c>
      <c r="C999">
        <v>1.1000000000000001</v>
      </c>
    </row>
    <row r="1000" spans="1:3" x14ac:dyDescent="0.4">
      <c r="B1000">
        <v>1.95</v>
      </c>
      <c r="C1000">
        <v>1.8</v>
      </c>
    </row>
    <row r="1001" spans="1:3" x14ac:dyDescent="0.4">
      <c r="B1001">
        <v>2</v>
      </c>
      <c r="C1001">
        <v>1.45</v>
      </c>
    </row>
    <row r="1002" spans="1:3" x14ac:dyDescent="0.4">
      <c r="B1002">
        <v>1.75</v>
      </c>
      <c r="C1002">
        <v>1.3</v>
      </c>
    </row>
    <row r="1003" spans="1:3" x14ac:dyDescent="0.4">
      <c r="B1003">
        <v>2.7</v>
      </c>
      <c r="C1003">
        <v>1.65</v>
      </c>
    </row>
    <row r="1004" spans="1:3" x14ac:dyDescent="0.4">
      <c r="B1004">
        <v>2</v>
      </c>
      <c r="C1004">
        <v>1.5</v>
      </c>
    </row>
    <row r="1005" spans="1:3" x14ac:dyDescent="0.4">
      <c r="B1005">
        <v>2.4</v>
      </c>
      <c r="C1005">
        <v>1.1000000000000001</v>
      </c>
    </row>
    <row r="1006" spans="1:3" x14ac:dyDescent="0.4">
      <c r="B1006">
        <v>2.6</v>
      </c>
      <c r="C1006">
        <v>1.1000000000000001</v>
      </c>
    </row>
    <row r="1007" spans="1:3" x14ac:dyDescent="0.4">
      <c r="B1007">
        <v>2.35</v>
      </c>
      <c r="C1007">
        <v>1.95</v>
      </c>
    </row>
    <row r="1008" spans="1:3" x14ac:dyDescent="0.4">
      <c r="B1008">
        <v>1.8</v>
      </c>
      <c r="C1008">
        <v>1.25</v>
      </c>
    </row>
    <row r="1009" spans="2:3" x14ac:dyDescent="0.4">
      <c r="B1009">
        <v>2.2999999999999998</v>
      </c>
      <c r="C1009">
        <v>1.5</v>
      </c>
    </row>
    <row r="1010" spans="2:3" x14ac:dyDescent="0.4">
      <c r="B1010">
        <v>2.1</v>
      </c>
      <c r="C1010">
        <v>1.9</v>
      </c>
    </row>
    <row r="1011" spans="2:3" x14ac:dyDescent="0.4">
      <c r="B1011">
        <v>2.6</v>
      </c>
      <c r="C1011">
        <v>1.6</v>
      </c>
    </row>
    <row r="1012" spans="2:3" x14ac:dyDescent="0.4">
      <c r="B1012">
        <v>2.1</v>
      </c>
      <c r="C1012">
        <v>1.6</v>
      </c>
    </row>
    <row r="1013" spans="2:3" x14ac:dyDescent="0.4">
      <c r="B1013">
        <v>2</v>
      </c>
      <c r="C1013">
        <v>1.3</v>
      </c>
    </row>
    <row r="1014" spans="2:3" x14ac:dyDescent="0.4">
      <c r="B1014">
        <v>1.9</v>
      </c>
      <c r="C1014">
        <v>1.5</v>
      </c>
    </row>
    <row r="1015" spans="2:3" x14ac:dyDescent="0.4">
      <c r="B1015">
        <v>1.8</v>
      </c>
      <c r="C1015">
        <v>1.3</v>
      </c>
    </row>
    <row r="1016" spans="2:3" x14ac:dyDescent="0.4">
      <c r="B1016">
        <v>2</v>
      </c>
      <c r="C1016">
        <v>1.3</v>
      </c>
    </row>
    <row r="1017" spans="2:3" x14ac:dyDescent="0.4">
      <c r="B1017">
        <v>2.0499999999999998</v>
      </c>
      <c r="C1017">
        <v>1.35</v>
      </c>
    </row>
    <row r="1018" spans="2:3" x14ac:dyDescent="0.4">
      <c r="B1018">
        <v>2.0499999999999998</v>
      </c>
      <c r="C1018">
        <v>1.6</v>
      </c>
    </row>
    <row r="1019" spans="2:3" x14ac:dyDescent="0.4">
      <c r="B1019">
        <v>2.4</v>
      </c>
      <c r="C1019">
        <v>1.45</v>
      </c>
    </row>
    <row r="1020" spans="2:3" x14ac:dyDescent="0.4">
      <c r="B1020">
        <v>2.7</v>
      </c>
      <c r="C1020">
        <v>1.5</v>
      </c>
    </row>
    <row r="1021" spans="2:3" x14ac:dyDescent="0.4">
      <c r="B1021">
        <v>1.5</v>
      </c>
      <c r="C1021">
        <v>1.4</v>
      </c>
    </row>
    <row r="1022" spans="2:3" x14ac:dyDescent="0.4">
      <c r="B1022">
        <v>1.7</v>
      </c>
      <c r="C1022">
        <v>1.45</v>
      </c>
    </row>
    <row r="1023" spans="2:3" x14ac:dyDescent="0.4">
      <c r="B1023">
        <v>2.2999999999999998</v>
      </c>
      <c r="C1023">
        <v>1.4</v>
      </c>
    </row>
    <row r="1024" spans="2:3" x14ac:dyDescent="0.4">
      <c r="B1024">
        <v>2.2999999999999998</v>
      </c>
      <c r="C1024">
        <v>1.6</v>
      </c>
    </row>
    <row r="1025" spans="2:3" x14ac:dyDescent="0.4">
      <c r="B1025">
        <v>2.1</v>
      </c>
      <c r="C1025">
        <v>1.2</v>
      </c>
    </row>
    <row r="1026" spans="2:3" x14ac:dyDescent="0.4">
      <c r="B1026">
        <v>1.8</v>
      </c>
      <c r="C1026">
        <v>1.4</v>
      </c>
    </row>
    <row r="1027" spans="2:3" x14ac:dyDescent="0.4">
      <c r="B1027">
        <v>2.15</v>
      </c>
      <c r="C1027">
        <v>1.5</v>
      </c>
    </row>
    <row r="1028" spans="2:3" x14ac:dyDescent="0.4">
      <c r="B1028">
        <v>1.8</v>
      </c>
      <c r="C1028">
        <v>1.55</v>
      </c>
    </row>
    <row r="1029" spans="2:3" x14ac:dyDescent="0.4">
      <c r="B1029">
        <v>2.2999999999999998</v>
      </c>
      <c r="C1029">
        <v>1.5</v>
      </c>
    </row>
    <row r="1030" spans="2:3" x14ac:dyDescent="0.4">
      <c r="B1030">
        <v>1.9</v>
      </c>
      <c r="C1030">
        <v>1.4</v>
      </c>
    </row>
    <row r="1031" spans="2:3" x14ac:dyDescent="0.4">
      <c r="B1031">
        <v>1.5</v>
      </c>
      <c r="C1031">
        <v>1.3</v>
      </c>
    </row>
    <row r="1032" spans="2:3" x14ac:dyDescent="0.4">
      <c r="B1032">
        <v>1.85</v>
      </c>
      <c r="C1032">
        <v>1.35</v>
      </c>
    </row>
    <row r="1033" spans="2:3" x14ac:dyDescent="0.4">
      <c r="B1033">
        <v>2.4500000000000002</v>
      </c>
      <c r="C1033">
        <v>1.45</v>
      </c>
    </row>
    <row r="1034" spans="2:3" x14ac:dyDescent="0.4">
      <c r="B1034">
        <v>1.7</v>
      </c>
      <c r="C1034">
        <v>1.2</v>
      </c>
    </row>
    <row r="1035" spans="2:3" x14ac:dyDescent="0.4">
      <c r="B1035">
        <v>2.4</v>
      </c>
      <c r="C1035">
        <v>1.7</v>
      </c>
    </row>
    <row r="1036" spans="2:3" x14ac:dyDescent="0.4">
      <c r="B1036">
        <v>2</v>
      </c>
      <c r="C1036">
        <v>1.55</v>
      </c>
    </row>
    <row r="1037" spans="2:3" x14ac:dyDescent="0.4">
      <c r="B1037">
        <v>1.9</v>
      </c>
      <c r="C1037">
        <v>1.4</v>
      </c>
    </row>
    <row r="1038" spans="2:3" x14ac:dyDescent="0.4">
      <c r="B1038">
        <v>2.1</v>
      </c>
      <c r="C1038">
        <v>1.5</v>
      </c>
    </row>
    <row r="1039" spans="2:3" x14ac:dyDescent="0.4">
      <c r="B1039">
        <v>2</v>
      </c>
      <c r="C1039">
        <v>1.4</v>
      </c>
    </row>
    <row r="1040" spans="2:3" x14ac:dyDescent="0.4">
      <c r="B1040">
        <f>AVERAGE(B999:B1039)</f>
        <v>2.0829268292682928</v>
      </c>
      <c r="C1040">
        <f>AVERAGE(C999:C1039)</f>
        <v>1.4475609756097563</v>
      </c>
    </row>
    <row r="1042" spans="1:3" x14ac:dyDescent="0.4">
      <c r="A1042" t="s">
        <v>55</v>
      </c>
      <c r="B1042">
        <v>2.5</v>
      </c>
      <c r="C1042">
        <v>2.0499999999999998</v>
      </c>
    </row>
    <row r="1043" spans="1:3" x14ac:dyDescent="0.4">
      <c r="B1043">
        <v>2.7</v>
      </c>
      <c r="C1043">
        <v>2.15</v>
      </c>
    </row>
    <row r="1044" spans="1:3" x14ac:dyDescent="0.4">
      <c r="B1044">
        <v>4.3499999999999996</v>
      </c>
      <c r="C1044">
        <v>2.35</v>
      </c>
    </row>
    <row r="1045" spans="1:3" x14ac:dyDescent="0.4">
      <c r="B1045">
        <v>2.7</v>
      </c>
      <c r="C1045">
        <v>2.2999999999999998</v>
      </c>
    </row>
    <row r="1046" spans="1:3" x14ac:dyDescent="0.4">
      <c r="B1046">
        <v>3.1</v>
      </c>
      <c r="C1046">
        <v>2.2999999999999998</v>
      </c>
    </row>
    <row r="1047" spans="1:3" x14ac:dyDescent="0.4">
      <c r="B1047">
        <f>AVERAGE(B1042:B1046)</f>
        <v>3.07</v>
      </c>
      <c r="C1047">
        <f>AVERAGE(C1042:C1046)</f>
        <v>2.2299999999999995</v>
      </c>
    </row>
    <row r="1049" spans="1:3" x14ac:dyDescent="0.4">
      <c r="A1049" t="s">
        <v>60</v>
      </c>
      <c r="B1049">
        <v>2.15</v>
      </c>
      <c r="C1049">
        <v>1.4</v>
      </c>
    </row>
    <row r="1050" spans="1:3" x14ac:dyDescent="0.4">
      <c r="B1050">
        <v>2.6</v>
      </c>
      <c r="C1050">
        <v>1.5</v>
      </c>
    </row>
    <row r="1051" spans="1:3" x14ac:dyDescent="0.4">
      <c r="B1051">
        <v>2.7</v>
      </c>
      <c r="C1051">
        <v>1.7</v>
      </c>
    </row>
    <row r="1052" spans="1:3" x14ac:dyDescent="0.4">
      <c r="B1052">
        <v>2.75</v>
      </c>
      <c r="C1052">
        <v>1.7</v>
      </c>
    </row>
    <row r="1053" spans="1:3" x14ac:dyDescent="0.4">
      <c r="B1053">
        <v>2.2999999999999998</v>
      </c>
      <c r="C1053">
        <v>1.4</v>
      </c>
    </row>
    <row r="1054" spans="1:3" x14ac:dyDescent="0.4">
      <c r="B1054">
        <v>2.5</v>
      </c>
      <c r="C1054">
        <v>1.7</v>
      </c>
    </row>
    <row r="1055" spans="1:3" x14ac:dyDescent="0.4">
      <c r="B1055">
        <v>2.6</v>
      </c>
      <c r="C1055">
        <v>1.5</v>
      </c>
    </row>
    <row r="1056" spans="1:3" x14ac:dyDescent="0.4">
      <c r="B1056">
        <v>2.8</v>
      </c>
      <c r="C1056">
        <v>1.7</v>
      </c>
    </row>
    <row r="1057" spans="1:3" x14ac:dyDescent="0.4">
      <c r="B1057">
        <f>AVERAGE(B1049:B1056)</f>
        <v>2.5500000000000003</v>
      </c>
      <c r="C1057">
        <f>AVERAGE(C1049:C1056)</f>
        <v>1.5749999999999997</v>
      </c>
    </row>
    <row r="1059" spans="1:3" x14ac:dyDescent="0.4">
      <c r="A1059" t="s">
        <v>64</v>
      </c>
      <c r="B1059">
        <v>2.2000000000000002</v>
      </c>
      <c r="C1059">
        <v>2</v>
      </c>
    </row>
    <row r="1060" spans="1:3" x14ac:dyDescent="0.4">
      <c r="B1060">
        <v>2.2000000000000002</v>
      </c>
      <c r="C1060">
        <v>2.1</v>
      </c>
    </row>
    <row r="1061" spans="1:3" x14ac:dyDescent="0.4">
      <c r="B1061">
        <v>2.1</v>
      </c>
      <c r="C1061">
        <v>1.95</v>
      </c>
    </row>
    <row r="1062" spans="1:3" x14ac:dyDescent="0.4">
      <c r="B1062">
        <v>2.1</v>
      </c>
      <c r="C1062">
        <v>2</v>
      </c>
    </row>
    <row r="1063" spans="1:3" x14ac:dyDescent="0.4">
      <c r="B1063">
        <v>1.9</v>
      </c>
      <c r="C1063">
        <v>2.1</v>
      </c>
    </row>
    <row r="1064" spans="1:3" x14ac:dyDescent="0.4">
      <c r="B1064">
        <f>AVERAGE(B1059:B1063)</f>
        <v>2.1</v>
      </c>
      <c r="C1064">
        <f>AVERAGE(C1059:C1063)</f>
        <v>2.0300000000000002</v>
      </c>
    </row>
    <row r="1066" spans="1:3" x14ac:dyDescent="0.4">
      <c r="A1066" t="s">
        <v>63</v>
      </c>
      <c r="B1066">
        <v>2.8</v>
      </c>
      <c r="C1066">
        <v>2.2999999999999998</v>
      </c>
    </row>
    <row r="1067" spans="1:3" x14ac:dyDescent="0.4">
      <c r="B1067">
        <v>2.35</v>
      </c>
      <c r="C1067">
        <v>2.35</v>
      </c>
    </row>
    <row r="1068" spans="1:3" x14ac:dyDescent="0.4">
      <c r="B1068">
        <v>2.75</v>
      </c>
      <c r="C1068">
        <v>2.2999999999999998</v>
      </c>
    </row>
    <row r="1069" spans="1:3" x14ac:dyDescent="0.4">
      <c r="B1069">
        <v>2.8</v>
      </c>
      <c r="C1069">
        <v>2.35</v>
      </c>
    </row>
    <row r="1070" spans="1:3" x14ac:dyDescent="0.4">
      <c r="B1070">
        <v>2.4</v>
      </c>
      <c r="C1070">
        <v>2.15</v>
      </c>
    </row>
    <row r="1071" spans="1:3" x14ac:dyDescent="0.4">
      <c r="B1071">
        <v>1.6</v>
      </c>
      <c r="C1071">
        <v>1.75</v>
      </c>
    </row>
    <row r="1072" spans="1:3" x14ac:dyDescent="0.4">
      <c r="B1072">
        <v>2.7</v>
      </c>
      <c r="C1072">
        <v>2.4</v>
      </c>
    </row>
    <row r="1073" spans="1:3" x14ac:dyDescent="0.4">
      <c r="B1073">
        <v>2.4</v>
      </c>
      <c r="C1073">
        <v>2.35</v>
      </c>
    </row>
    <row r="1074" spans="1:3" x14ac:dyDescent="0.4">
      <c r="B1074">
        <v>2.25</v>
      </c>
      <c r="C1074">
        <v>2.2000000000000002</v>
      </c>
    </row>
    <row r="1075" spans="1:3" x14ac:dyDescent="0.4">
      <c r="B1075">
        <v>2.7</v>
      </c>
      <c r="C1075">
        <v>2.35</v>
      </c>
    </row>
    <row r="1076" spans="1:3" x14ac:dyDescent="0.4">
      <c r="B1076">
        <v>2.8</v>
      </c>
      <c r="C1076">
        <v>2.4</v>
      </c>
    </row>
    <row r="1077" spans="1:3" x14ac:dyDescent="0.4">
      <c r="B1077">
        <v>2.4</v>
      </c>
      <c r="C1077">
        <v>2.2999999999999998</v>
      </c>
    </row>
    <row r="1078" spans="1:3" x14ac:dyDescent="0.4">
      <c r="B1078">
        <v>2.5</v>
      </c>
      <c r="C1078">
        <v>2</v>
      </c>
    </row>
    <row r="1079" spans="1:3" x14ac:dyDescent="0.4">
      <c r="B1079">
        <v>1.8</v>
      </c>
      <c r="C1079">
        <v>1.8</v>
      </c>
    </row>
    <row r="1080" spans="1:3" x14ac:dyDescent="0.4">
      <c r="B1080">
        <v>2.5</v>
      </c>
      <c r="C1080">
        <v>2.35</v>
      </c>
    </row>
    <row r="1081" spans="1:3" x14ac:dyDescent="0.4">
      <c r="B1081">
        <v>2</v>
      </c>
      <c r="C1081">
        <v>1.9</v>
      </c>
    </row>
    <row r="1082" spans="1:3" x14ac:dyDescent="0.4">
      <c r="B1082">
        <v>2.5499999999999998</v>
      </c>
      <c r="C1082">
        <v>2.2000000000000002</v>
      </c>
    </row>
    <row r="1083" spans="1:3" x14ac:dyDescent="0.4">
      <c r="B1083">
        <v>2.35</v>
      </c>
      <c r="C1083">
        <v>2.2000000000000002</v>
      </c>
    </row>
    <row r="1084" spans="1:3" x14ac:dyDescent="0.4">
      <c r="B1084">
        <v>2.7</v>
      </c>
      <c r="C1084">
        <v>2.4</v>
      </c>
    </row>
    <row r="1085" spans="1:3" x14ac:dyDescent="0.4">
      <c r="B1085">
        <f>AVERAGE(B1066:B1084)</f>
        <v>2.439473684210526</v>
      </c>
      <c r="C1085">
        <f>AVERAGE(C1066:C1084)</f>
        <v>2.2131578947368422</v>
      </c>
    </row>
    <row r="1087" spans="1:3" x14ac:dyDescent="0.4">
      <c r="A1087" t="s">
        <v>71</v>
      </c>
      <c r="B1087">
        <v>1.95</v>
      </c>
      <c r="C1087">
        <v>1.5</v>
      </c>
    </row>
    <row r="1088" spans="1:3" x14ac:dyDescent="0.4">
      <c r="B1088">
        <v>2.25</v>
      </c>
      <c r="C1088">
        <v>1.6</v>
      </c>
    </row>
    <row r="1089" spans="2:3" x14ac:dyDescent="0.4">
      <c r="B1089">
        <v>2.5</v>
      </c>
      <c r="C1089">
        <v>1.6</v>
      </c>
    </row>
    <row r="1090" spans="2:3" x14ac:dyDescent="0.4">
      <c r="B1090">
        <v>1.7</v>
      </c>
      <c r="C1090">
        <v>1.6</v>
      </c>
    </row>
    <row r="1091" spans="2:3" x14ac:dyDescent="0.4">
      <c r="B1091">
        <v>2.5499999999999998</v>
      </c>
      <c r="C1091">
        <v>1.6</v>
      </c>
    </row>
    <row r="1092" spans="2:3" x14ac:dyDescent="0.4">
      <c r="B1092">
        <v>2.4</v>
      </c>
      <c r="C1092">
        <v>1.6</v>
      </c>
    </row>
    <row r="1093" spans="2:3" x14ac:dyDescent="0.4">
      <c r="B1093">
        <v>2.2999999999999998</v>
      </c>
      <c r="C1093">
        <v>1.5</v>
      </c>
    </row>
    <row r="1094" spans="2:3" x14ac:dyDescent="0.4">
      <c r="B1094">
        <v>2</v>
      </c>
      <c r="C1094">
        <v>1.6</v>
      </c>
    </row>
    <row r="1095" spans="2:3" x14ac:dyDescent="0.4">
      <c r="B1095">
        <v>2.1</v>
      </c>
      <c r="C1095">
        <v>1.7</v>
      </c>
    </row>
    <row r="1096" spans="2:3" x14ac:dyDescent="0.4">
      <c r="B1096">
        <v>2.25</v>
      </c>
      <c r="C1096">
        <v>1.65</v>
      </c>
    </row>
    <row r="1097" spans="2:3" x14ac:dyDescent="0.4">
      <c r="B1097">
        <v>1.55</v>
      </c>
      <c r="C1097">
        <v>1.6</v>
      </c>
    </row>
    <row r="1098" spans="2:3" x14ac:dyDescent="0.4">
      <c r="B1098">
        <v>2.4</v>
      </c>
      <c r="C1098">
        <v>1.55</v>
      </c>
    </row>
    <row r="1099" spans="2:3" x14ac:dyDescent="0.4">
      <c r="B1099">
        <v>2.1</v>
      </c>
      <c r="C1099">
        <v>1.5</v>
      </c>
    </row>
    <row r="1100" spans="2:3" x14ac:dyDescent="0.4">
      <c r="B1100">
        <v>1.25</v>
      </c>
      <c r="C1100">
        <v>1.3</v>
      </c>
    </row>
    <row r="1101" spans="2:3" x14ac:dyDescent="0.4">
      <c r="B1101">
        <v>2.0499999999999998</v>
      </c>
      <c r="C1101">
        <v>1.6</v>
      </c>
    </row>
    <row r="1102" spans="2:3" x14ac:dyDescent="0.4">
      <c r="B1102">
        <v>2</v>
      </c>
      <c r="C1102">
        <v>1.5</v>
      </c>
    </row>
    <row r="1103" spans="2:3" x14ac:dyDescent="0.4">
      <c r="B1103">
        <f>AVERAGE(B1087:B1102)</f>
        <v>2.0843750000000001</v>
      </c>
      <c r="C1103">
        <f>AVERAGE(C1087:C1102)</f>
        <v>1.5625000000000002</v>
      </c>
    </row>
    <row r="1105" spans="1:3" x14ac:dyDescent="0.4">
      <c r="A1105" t="s">
        <v>115</v>
      </c>
      <c r="B1105">
        <v>2.8</v>
      </c>
      <c r="C1105">
        <v>1.95</v>
      </c>
    </row>
    <row r="1106" spans="1:3" x14ac:dyDescent="0.4">
      <c r="B1106">
        <v>3.1</v>
      </c>
      <c r="C1106">
        <v>2.1</v>
      </c>
    </row>
    <row r="1107" spans="1:3" x14ac:dyDescent="0.4">
      <c r="B1107">
        <v>2.8</v>
      </c>
      <c r="C1107">
        <v>2.15</v>
      </c>
    </row>
    <row r="1108" spans="1:3" x14ac:dyDescent="0.4">
      <c r="B1108">
        <v>2.5</v>
      </c>
      <c r="C1108">
        <v>2.2000000000000002</v>
      </c>
    </row>
    <row r="1109" spans="1:3" x14ac:dyDescent="0.4">
      <c r="B1109">
        <v>1.9</v>
      </c>
      <c r="C1109">
        <v>1.95</v>
      </c>
    </row>
    <row r="1110" spans="1:3" x14ac:dyDescent="0.4">
      <c r="B1110">
        <v>1.7</v>
      </c>
      <c r="C1110">
        <v>1.9</v>
      </c>
    </row>
    <row r="1111" spans="1:3" x14ac:dyDescent="0.4">
      <c r="B1111">
        <v>1.95</v>
      </c>
      <c r="C1111">
        <v>1.7</v>
      </c>
    </row>
    <row r="1112" spans="1:3" x14ac:dyDescent="0.4">
      <c r="B1112">
        <v>1.6</v>
      </c>
      <c r="C1112">
        <v>1.9</v>
      </c>
    </row>
    <row r="1113" spans="1:3" x14ac:dyDescent="0.4">
      <c r="B1113">
        <f>AVERAGE(B1105:B1112)</f>
        <v>2.2937500000000002</v>
      </c>
      <c r="C1113">
        <f>AVERAGE(C1105:C1112)</f>
        <v>1.9812499999999997</v>
      </c>
    </row>
    <row r="1115" spans="1:3" x14ac:dyDescent="0.4">
      <c r="A1115" t="s">
        <v>77</v>
      </c>
      <c r="B1115">
        <v>2.2999999999999998</v>
      </c>
      <c r="C1115">
        <v>2.0499999999999998</v>
      </c>
    </row>
    <row r="1116" spans="1:3" x14ac:dyDescent="0.4">
      <c r="B1116">
        <v>2</v>
      </c>
      <c r="C1116">
        <v>1.9</v>
      </c>
    </row>
    <row r="1117" spans="1:3" x14ac:dyDescent="0.4">
      <c r="B1117">
        <v>2.5</v>
      </c>
      <c r="C1117">
        <v>2</v>
      </c>
    </row>
    <row r="1118" spans="1:3" x14ac:dyDescent="0.4">
      <c r="B1118">
        <v>2</v>
      </c>
      <c r="C1118">
        <v>1.95</v>
      </c>
    </row>
    <row r="1119" spans="1:3" x14ac:dyDescent="0.4">
      <c r="B1119">
        <v>2.2999999999999998</v>
      </c>
      <c r="C1119">
        <v>2</v>
      </c>
    </row>
    <row r="1120" spans="1:3" x14ac:dyDescent="0.4">
      <c r="B1120">
        <v>2.2000000000000002</v>
      </c>
      <c r="C1120">
        <v>2.1</v>
      </c>
    </row>
    <row r="1121" spans="1:3" x14ac:dyDescent="0.4">
      <c r="B1121">
        <v>2.25</v>
      </c>
      <c r="C1121">
        <v>1.95</v>
      </c>
    </row>
    <row r="1122" spans="1:3" x14ac:dyDescent="0.4">
      <c r="B1122">
        <v>2.4500000000000002</v>
      </c>
      <c r="C1122">
        <v>2</v>
      </c>
    </row>
    <row r="1123" spans="1:3" x14ac:dyDescent="0.4">
      <c r="B1123">
        <v>2.5499999999999998</v>
      </c>
      <c r="C1123">
        <v>2.25</v>
      </c>
    </row>
    <row r="1124" spans="1:3" x14ac:dyDescent="0.4">
      <c r="B1124">
        <v>2.4</v>
      </c>
      <c r="C1124">
        <v>2.0499999999999998</v>
      </c>
    </row>
    <row r="1125" spans="1:3" x14ac:dyDescent="0.4">
      <c r="B1125">
        <v>2.15</v>
      </c>
      <c r="C1125">
        <v>2.1</v>
      </c>
    </row>
    <row r="1126" spans="1:3" x14ac:dyDescent="0.4">
      <c r="B1126">
        <v>2.2000000000000002</v>
      </c>
      <c r="C1126">
        <v>2.1</v>
      </c>
    </row>
    <row r="1127" spans="1:3" x14ac:dyDescent="0.4">
      <c r="B1127">
        <v>2.2000000000000002</v>
      </c>
      <c r="C1127">
        <v>2</v>
      </c>
    </row>
    <row r="1128" spans="1:3" x14ac:dyDescent="0.4">
      <c r="B1128">
        <v>2.2000000000000002</v>
      </c>
      <c r="C1128">
        <v>2.0499999999999998</v>
      </c>
    </row>
    <row r="1129" spans="1:3" x14ac:dyDescent="0.4">
      <c r="B1129">
        <v>2.4</v>
      </c>
      <c r="C1129">
        <v>2.2000000000000002</v>
      </c>
    </row>
    <row r="1130" spans="1:3" x14ac:dyDescent="0.4">
      <c r="B1130">
        <v>2.25</v>
      </c>
      <c r="C1130">
        <v>2.0499999999999998</v>
      </c>
    </row>
    <row r="1131" spans="1:3" x14ac:dyDescent="0.4">
      <c r="B1131">
        <v>2.35</v>
      </c>
      <c r="C1131">
        <v>2.1</v>
      </c>
    </row>
    <row r="1132" spans="1:3" x14ac:dyDescent="0.4">
      <c r="B1132">
        <v>2.35</v>
      </c>
      <c r="C1132">
        <v>2</v>
      </c>
    </row>
    <row r="1133" spans="1:3" x14ac:dyDescent="0.4">
      <c r="B1133">
        <v>2.15</v>
      </c>
      <c r="C1133">
        <v>2</v>
      </c>
    </row>
    <row r="1134" spans="1:3" x14ac:dyDescent="0.4">
      <c r="B1134">
        <f>AVERAGE(B1115:B1133)</f>
        <v>2.2736842105263158</v>
      </c>
      <c r="C1134">
        <f>AVERAGE(C1115:C1133)</f>
        <v>2.0447368421052632</v>
      </c>
    </row>
    <row r="1136" spans="1:3" x14ac:dyDescent="0.4">
      <c r="A1136" t="s">
        <v>78</v>
      </c>
      <c r="B1136">
        <v>2</v>
      </c>
      <c r="C1136">
        <v>1.45</v>
      </c>
    </row>
    <row r="1137" spans="1:3" x14ac:dyDescent="0.4">
      <c r="B1137">
        <v>2.1</v>
      </c>
      <c r="C1137">
        <v>1.6</v>
      </c>
    </row>
    <row r="1138" spans="1:3" x14ac:dyDescent="0.4">
      <c r="B1138">
        <v>1.95</v>
      </c>
      <c r="C1138">
        <v>1.65</v>
      </c>
    </row>
    <row r="1139" spans="1:3" x14ac:dyDescent="0.4">
      <c r="B1139">
        <v>1.8</v>
      </c>
      <c r="C1139">
        <v>1.5</v>
      </c>
    </row>
    <row r="1140" spans="1:3" x14ac:dyDescent="0.4">
      <c r="B1140">
        <v>1.95</v>
      </c>
      <c r="C1140">
        <v>1.9</v>
      </c>
    </row>
    <row r="1141" spans="1:3" x14ac:dyDescent="0.4">
      <c r="B1141">
        <v>2</v>
      </c>
      <c r="C1141">
        <v>1.65</v>
      </c>
    </row>
    <row r="1142" spans="1:3" x14ac:dyDescent="0.4">
      <c r="B1142">
        <v>2.1</v>
      </c>
      <c r="C1142">
        <v>1.6</v>
      </c>
    </row>
    <row r="1143" spans="1:3" x14ac:dyDescent="0.4">
      <c r="B1143">
        <v>2</v>
      </c>
      <c r="C1143">
        <v>1.5</v>
      </c>
    </row>
    <row r="1144" spans="1:3" x14ac:dyDescent="0.4">
      <c r="B1144">
        <v>2.1</v>
      </c>
      <c r="C1144">
        <v>1.6</v>
      </c>
    </row>
    <row r="1145" spans="1:3" x14ac:dyDescent="0.4">
      <c r="B1145">
        <v>2</v>
      </c>
      <c r="C1145">
        <v>1.6</v>
      </c>
    </row>
    <row r="1146" spans="1:3" x14ac:dyDescent="0.4">
      <c r="B1146">
        <v>1.9</v>
      </c>
      <c r="C1146">
        <v>1.55</v>
      </c>
    </row>
    <row r="1147" spans="1:3" x14ac:dyDescent="0.4">
      <c r="B1147">
        <f>AVERAGE(B1136:B1146)</f>
        <v>1.9909090909090907</v>
      </c>
      <c r="C1147">
        <f>AVERAGE(C1136:C1146)</f>
        <v>1.6</v>
      </c>
    </row>
    <row r="1149" spans="1:3" x14ac:dyDescent="0.4">
      <c r="A1149" t="s">
        <v>86</v>
      </c>
      <c r="B1149">
        <v>1.7</v>
      </c>
      <c r="C1149">
        <v>1.4</v>
      </c>
    </row>
    <row r="1150" spans="1:3" x14ac:dyDescent="0.4">
      <c r="B1150">
        <v>1.7</v>
      </c>
      <c r="C1150">
        <v>1.55</v>
      </c>
    </row>
    <row r="1151" spans="1:3" x14ac:dyDescent="0.4">
      <c r="B1151">
        <v>1.8</v>
      </c>
      <c r="C1151">
        <v>1.5</v>
      </c>
    </row>
    <row r="1152" spans="1:3" x14ac:dyDescent="0.4">
      <c r="B1152">
        <v>1.6</v>
      </c>
      <c r="C1152">
        <v>1.4</v>
      </c>
    </row>
    <row r="1153" spans="2:3" x14ac:dyDescent="0.4">
      <c r="B1153">
        <v>1.75</v>
      </c>
      <c r="C1153">
        <v>1.5</v>
      </c>
    </row>
    <row r="1154" spans="2:3" x14ac:dyDescent="0.4">
      <c r="B1154">
        <v>1.7</v>
      </c>
      <c r="C1154">
        <v>1.5</v>
      </c>
    </row>
    <row r="1155" spans="2:3" x14ac:dyDescent="0.4">
      <c r="B1155">
        <v>1.95</v>
      </c>
      <c r="C1155">
        <v>1.45</v>
      </c>
    </row>
    <row r="1156" spans="2:3" x14ac:dyDescent="0.4">
      <c r="B1156">
        <v>2.15</v>
      </c>
      <c r="C1156">
        <v>1.6</v>
      </c>
    </row>
    <row r="1157" spans="2:3" x14ac:dyDescent="0.4">
      <c r="B1157">
        <v>1.8</v>
      </c>
      <c r="C1157">
        <v>1.3</v>
      </c>
    </row>
    <row r="1158" spans="2:3" x14ac:dyDescent="0.4">
      <c r="B1158">
        <v>1.8</v>
      </c>
      <c r="C1158">
        <v>1.9</v>
      </c>
    </row>
    <row r="1159" spans="2:3" x14ac:dyDescent="0.4">
      <c r="B1159">
        <v>1.85</v>
      </c>
      <c r="C1159">
        <v>1.45</v>
      </c>
    </row>
    <row r="1160" spans="2:3" x14ac:dyDescent="0.4">
      <c r="B1160">
        <v>2.1</v>
      </c>
      <c r="C1160">
        <v>1.55</v>
      </c>
    </row>
    <row r="1161" spans="2:3" x14ac:dyDescent="0.4">
      <c r="B1161">
        <v>1.7</v>
      </c>
      <c r="C1161">
        <v>1.5</v>
      </c>
    </row>
    <row r="1162" spans="2:3" x14ac:dyDescent="0.4">
      <c r="B1162">
        <v>1.7</v>
      </c>
      <c r="C1162">
        <v>1.5</v>
      </c>
    </row>
    <row r="1163" spans="2:3" x14ac:dyDescent="0.4">
      <c r="B1163">
        <v>1.5</v>
      </c>
      <c r="C1163">
        <v>1.35</v>
      </c>
    </row>
    <row r="1164" spans="2:3" x14ac:dyDescent="0.4">
      <c r="B1164">
        <v>1.55</v>
      </c>
      <c r="C1164">
        <v>1.45</v>
      </c>
    </row>
    <row r="1165" spans="2:3" x14ac:dyDescent="0.4">
      <c r="B1165">
        <v>1.6</v>
      </c>
      <c r="C1165">
        <v>1.45</v>
      </c>
    </row>
    <row r="1166" spans="2:3" x14ac:dyDescent="0.4">
      <c r="B1166">
        <v>1.7</v>
      </c>
      <c r="C1166">
        <v>1.3</v>
      </c>
    </row>
    <row r="1167" spans="2:3" x14ac:dyDescent="0.4">
      <c r="B1167">
        <v>1.7</v>
      </c>
      <c r="C1167">
        <v>1.55</v>
      </c>
    </row>
    <row r="1168" spans="2:3" x14ac:dyDescent="0.4">
      <c r="B1168">
        <v>1.65</v>
      </c>
      <c r="C1168">
        <v>1.45</v>
      </c>
    </row>
    <row r="1169" spans="1:3" x14ac:dyDescent="0.4">
      <c r="B1169">
        <f>AVERAGE(B1149:B1168)</f>
        <v>1.75</v>
      </c>
      <c r="C1169">
        <f>AVERAGE(C1149:C1168)</f>
        <v>1.4825000000000002</v>
      </c>
    </row>
    <row r="1171" spans="1:3" x14ac:dyDescent="0.4">
      <c r="A1171" t="s">
        <v>95</v>
      </c>
      <c r="B1171">
        <v>1.95</v>
      </c>
      <c r="C1171">
        <v>1.5</v>
      </c>
    </row>
    <row r="1172" spans="1:3" x14ac:dyDescent="0.4">
      <c r="B1172">
        <v>2.2000000000000002</v>
      </c>
      <c r="C1172">
        <v>1.7</v>
      </c>
    </row>
    <row r="1173" spans="1:3" x14ac:dyDescent="0.4">
      <c r="B1173">
        <v>1.95</v>
      </c>
      <c r="C1173">
        <v>1.55</v>
      </c>
    </row>
    <row r="1174" spans="1:3" x14ac:dyDescent="0.4">
      <c r="B1174">
        <v>2</v>
      </c>
      <c r="C1174">
        <v>1.6</v>
      </c>
    </row>
    <row r="1175" spans="1:3" x14ac:dyDescent="0.4">
      <c r="B1175">
        <v>2.0499999999999998</v>
      </c>
      <c r="C1175">
        <v>1.45</v>
      </c>
    </row>
    <row r="1176" spans="1:3" x14ac:dyDescent="0.4">
      <c r="B1176">
        <v>2</v>
      </c>
      <c r="C1176">
        <v>1.55</v>
      </c>
    </row>
    <row r="1177" spans="1:3" x14ac:dyDescent="0.4">
      <c r="B1177">
        <v>1.95</v>
      </c>
      <c r="C1177">
        <v>1.6</v>
      </c>
    </row>
    <row r="1178" spans="1:3" x14ac:dyDescent="0.4">
      <c r="B1178">
        <v>2.2999999999999998</v>
      </c>
      <c r="C1178">
        <v>1.55</v>
      </c>
    </row>
    <row r="1179" spans="1:3" x14ac:dyDescent="0.4">
      <c r="B1179">
        <v>2.2999999999999998</v>
      </c>
      <c r="C1179">
        <v>1.7</v>
      </c>
    </row>
    <row r="1180" spans="1:3" x14ac:dyDescent="0.4">
      <c r="B1180">
        <v>1.95</v>
      </c>
      <c r="C1180">
        <v>1.55</v>
      </c>
    </row>
    <row r="1181" spans="1:3" x14ac:dyDescent="0.4">
      <c r="B1181">
        <v>2.2000000000000002</v>
      </c>
      <c r="C1181">
        <v>1.6</v>
      </c>
    </row>
    <row r="1182" spans="1:3" x14ac:dyDescent="0.4">
      <c r="B1182">
        <v>2.0499999999999998</v>
      </c>
      <c r="C1182">
        <v>1.55</v>
      </c>
    </row>
    <row r="1183" spans="1:3" x14ac:dyDescent="0.4">
      <c r="B1183">
        <f>AVERAGE(B1171:B1182)</f>
        <v>2.0750000000000002</v>
      </c>
      <c r="C1183">
        <f>AVERAGE(C1171:C1182)</f>
        <v>1.5750000000000002</v>
      </c>
    </row>
    <row r="1185" spans="1:3" x14ac:dyDescent="0.4">
      <c r="A1185" t="s">
        <v>82</v>
      </c>
      <c r="B1185">
        <v>1.75</v>
      </c>
      <c r="C1185">
        <v>1.6</v>
      </c>
    </row>
    <row r="1186" spans="1:3" x14ac:dyDescent="0.4">
      <c r="B1186">
        <v>1.55</v>
      </c>
      <c r="C1186">
        <v>1.55</v>
      </c>
    </row>
    <row r="1187" spans="1:3" x14ac:dyDescent="0.4">
      <c r="B1187">
        <v>1.9</v>
      </c>
      <c r="C1187">
        <v>1.6</v>
      </c>
    </row>
    <row r="1188" spans="1:3" x14ac:dyDescent="0.4">
      <c r="B1188">
        <v>1.75</v>
      </c>
      <c r="C1188">
        <v>1.5</v>
      </c>
    </row>
    <row r="1189" spans="1:3" x14ac:dyDescent="0.4">
      <c r="B1189">
        <v>1.7</v>
      </c>
      <c r="C1189">
        <v>1.5</v>
      </c>
    </row>
    <row r="1190" spans="1:3" x14ac:dyDescent="0.4">
      <c r="B1190">
        <v>1.8</v>
      </c>
      <c r="C1190">
        <v>1.6</v>
      </c>
    </row>
    <row r="1191" spans="1:3" x14ac:dyDescent="0.4">
      <c r="B1191">
        <v>1.8</v>
      </c>
      <c r="C1191">
        <v>1.65</v>
      </c>
    </row>
    <row r="1192" spans="1:3" x14ac:dyDescent="0.4">
      <c r="B1192">
        <v>1.7</v>
      </c>
      <c r="C1192">
        <v>1.65</v>
      </c>
    </row>
    <row r="1193" spans="1:3" x14ac:dyDescent="0.4">
      <c r="B1193">
        <v>1.6</v>
      </c>
      <c r="C1193">
        <v>1.55</v>
      </c>
    </row>
    <row r="1194" spans="1:3" x14ac:dyDescent="0.4">
      <c r="B1194">
        <v>1.95</v>
      </c>
      <c r="C1194">
        <v>1.6</v>
      </c>
    </row>
    <row r="1195" spans="1:3" x14ac:dyDescent="0.4">
      <c r="B1195">
        <v>1.55</v>
      </c>
      <c r="C1195">
        <v>1.6</v>
      </c>
    </row>
    <row r="1196" spans="1:3" x14ac:dyDescent="0.4">
      <c r="B1196">
        <v>1.4</v>
      </c>
      <c r="C1196">
        <v>1.6</v>
      </c>
    </row>
    <row r="1197" spans="1:3" x14ac:dyDescent="0.4">
      <c r="B1197">
        <v>1.85</v>
      </c>
      <c r="C1197">
        <v>1.6</v>
      </c>
    </row>
    <row r="1198" spans="1:3" x14ac:dyDescent="0.4">
      <c r="B1198">
        <v>1.75</v>
      </c>
      <c r="C1198">
        <v>1.6</v>
      </c>
    </row>
    <row r="1199" spans="1:3" x14ac:dyDescent="0.4">
      <c r="B1199">
        <v>1.9</v>
      </c>
      <c r="C1199">
        <v>1.7</v>
      </c>
    </row>
    <row r="1200" spans="1:3" x14ac:dyDescent="0.4">
      <c r="B1200">
        <v>1.95</v>
      </c>
      <c r="C1200">
        <v>1.7</v>
      </c>
    </row>
    <row r="1201" spans="1:3" x14ac:dyDescent="0.4">
      <c r="B1201">
        <v>1.8</v>
      </c>
      <c r="C1201">
        <v>1.6</v>
      </c>
    </row>
    <row r="1202" spans="1:3" x14ac:dyDescent="0.4">
      <c r="B1202">
        <v>1.6</v>
      </c>
      <c r="C1202">
        <v>1.4</v>
      </c>
    </row>
    <row r="1203" spans="1:3" x14ac:dyDescent="0.4">
      <c r="B1203">
        <v>2.1</v>
      </c>
      <c r="C1203">
        <v>1.7</v>
      </c>
    </row>
    <row r="1204" spans="1:3" x14ac:dyDescent="0.4">
      <c r="B1204">
        <v>1.4</v>
      </c>
      <c r="C1204">
        <v>1.5</v>
      </c>
    </row>
    <row r="1205" spans="1:3" x14ac:dyDescent="0.4">
      <c r="B1205">
        <v>1.9</v>
      </c>
      <c r="C1205">
        <v>1.6</v>
      </c>
    </row>
    <row r="1206" spans="1:3" x14ac:dyDescent="0.4">
      <c r="B1206">
        <v>1.25</v>
      </c>
      <c r="C1206">
        <v>1.5</v>
      </c>
    </row>
    <row r="1207" spans="1:3" x14ac:dyDescent="0.4">
      <c r="B1207">
        <v>1.9</v>
      </c>
      <c r="C1207">
        <v>1.6</v>
      </c>
    </row>
    <row r="1208" spans="1:3" x14ac:dyDescent="0.4">
      <c r="B1208">
        <f>AVERAGE(B1185:B1207)</f>
        <v>1.7326086956521736</v>
      </c>
      <c r="C1208">
        <f>AVERAGE(C1185:C1207)</f>
        <v>1.5869565217391308</v>
      </c>
    </row>
    <row r="1210" spans="1:3" x14ac:dyDescent="0.4">
      <c r="A1210" t="s">
        <v>83</v>
      </c>
      <c r="B1210">
        <v>1.75</v>
      </c>
      <c r="C1210">
        <v>1.6</v>
      </c>
    </row>
    <row r="1211" spans="1:3" x14ac:dyDescent="0.4">
      <c r="B1211">
        <v>1.65</v>
      </c>
      <c r="C1211">
        <v>1.7</v>
      </c>
    </row>
    <row r="1212" spans="1:3" x14ac:dyDescent="0.4">
      <c r="B1212">
        <v>2</v>
      </c>
      <c r="C1212">
        <v>1.6</v>
      </c>
    </row>
    <row r="1213" spans="1:3" x14ac:dyDescent="0.4">
      <c r="B1213">
        <v>1.8</v>
      </c>
      <c r="C1213">
        <v>1.6</v>
      </c>
    </row>
    <row r="1214" spans="1:3" x14ac:dyDescent="0.4">
      <c r="B1214">
        <v>1.65</v>
      </c>
      <c r="C1214">
        <v>1.6</v>
      </c>
    </row>
    <row r="1215" spans="1:3" x14ac:dyDescent="0.4">
      <c r="B1215">
        <v>1.9</v>
      </c>
      <c r="C1215">
        <v>1.65</v>
      </c>
    </row>
    <row r="1216" spans="1:3" x14ac:dyDescent="0.4">
      <c r="B1216">
        <v>2</v>
      </c>
      <c r="C1216">
        <v>1.6</v>
      </c>
    </row>
    <row r="1217" spans="1:3" x14ac:dyDescent="0.4">
      <c r="B1217">
        <v>2.1</v>
      </c>
      <c r="C1217">
        <v>1.6</v>
      </c>
    </row>
    <row r="1218" spans="1:3" x14ac:dyDescent="0.4">
      <c r="B1218">
        <v>2</v>
      </c>
      <c r="C1218">
        <v>1.6</v>
      </c>
    </row>
    <row r="1219" spans="1:3" x14ac:dyDescent="0.4">
      <c r="B1219">
        <v>2</v>
      </c>
      <c r="C1219">
        <v>1.6</v>
      </c>
    </row>
    <row r="1220" spans="1:3" x14ac:dyDescent="0.4">
      <c r="B1220">
        <v>1.7</v>
      </c>
      <c r="C1220">
        <v>1.5</v>
      </c>
    </row>
    <row r="1221" spans="1:3" x14ac:dyDescent="0.4">
      <c r="B1221">
        <v>1.9</v>
      </c>
      <c r="C1221">
        <v>1.65</v>
      </c>
    </row>
    <row r="1222" spans="1:3" x14ac:dyDescent="0.4">
      <c r="B1222">
        <f>AVERAGE(B1210:B1221)</f>
        <v>1.8708333333333333</v>
      </c>
      <c r="C1222">
        <f>AVERAGE(C1210:C1221)</f>
        <v>1.6083333333333332</v>
      </c>
    </row>
    <row r="1224" spans="1:3" x14ac:dyDescent="0.4">
      <c r="A1224" t="s">
        <v>98</v>
      </c>
      <c r="B1224">
        <v>1.05</v>
      </c>
      <c r="C1224">
        <v>1.2</v>
      </c>
    </row>
    <row r="1225" spans="1:3" x14ac:dyDescent="0.4">
      <c r="B1225">
        <v>1.05</v>
      </c>
      <c r="C1225">
        <v>1.35</v>
      </c>
    </row>
    <row r="1226" spans="1:3" x14ac:dyDescent="0.4">
      <c r="B1226">
        <v>1.4</v>
      </c>
      <c r="C1226">
        <v>1.25</v>
      </c>
    </row>
    <row r="1227" spans="1:3" x14ac:dyDescent="0.4">
      <c r="B1227">
        <v>1.65</v>
      </c>
      <c r="C1227">
        <v>1.25</v>
      </c>
    </row>
    <row r="1228" spans="1:3" x14ac:dyDescent="0.4">
      <c r="B1228">
        <v>1.45</v>
      </c>
      <c r="C1228">
        <v>1.3</v>
      </c>
    </row>
    <row r="1229" spans="1:3" x14ac:dyDescent="0.4">
      <c r="B1229">
        <v>1.55</v>
      </c>
      <c r="C1229">
        <v>1.2</v>
      </c>
    </row>
    <row r="1230" spans="1:3" x14ac:dyDescent="0.4">
      <c r="B1230">
        <v>1.2</v>
      </c>
      <c r="C1230">
        <v>1.2</v>
      </c>
    </row>
    <row r="1231" spans="1:3" x14ac:dyDescent="0.4">
      <c r="B1231">
        <v>1.05</v>
      </c>
      <c r="C1231">
        <v>1.25</v>
      </c>
    </row>
    <row r="1232" spans="1:3" x14ac:dyDescent="0.4">
      <c r="B1232">
        <v>1.5</v>
      </c>
      <c r="C1232">
        <v>1.3</v>
      </c>
    </row>
    <row r="1233" spans="1:3" x14ac:dyDescent="0.4">
      <c r="B1233">
        <v>1.5</v>
      </c>
      <c r="C1233">
        <v>1.25</v>
      </c>
    </row>
    <row r="1234" spans="1:3" x14ac:dyDescent="0.4">
      <c r="B1234">
        <v>1.6</v>
      </c>
      <c r="C1234">
        <v>1.3</v>
      </c>
    </row>
    <row r="1235" spans="1:3" x14ac:dyDescent="0.4">
      <c r="B1235">
        <f>AVERAGE(B1224:B1234)</f>
        <v>1.3636363636363635</v>
      </c>
      <c r="C1235">
        <f>AVERAGE(C1224:C1234)</f>
        <v>1.2590909090909093</v>
      </c>
    </row>
    <row r="1237" spans="1:3" x14ac:dyDescent="0.4">
      <c r="A1237" t="s">
        <v>97</v>
      </c>
      <c r="B1237">
        <v>2.1</v>
      </c>
      <c r="C1237">
        <v>1.6</v>
      </c>
    </row>
    <row r="1238" spans="1:3" x14ac:dyDescent="0.4">
      <c r="B1238">
        <v>1.95</v>
      </c>
      <c r="C1238">
        <v>1.5</v>
      </c>
    </row>
    <row r="1239" spans="1:3" x14ac:dyDescent="0.4">
      <c r="B1239">
        <v>2.2000000000000002</v>
      </c>
      <c r="C1239">
        <v>1.5</v>
      </c>
    </row>
    <row r="1240" spans="1:3" x14ac:dyDescent="0.4">
      <c r="B1240">
        <v>2.1</v>
      </c>
      <c r="C1240">
        <v>1.5</v>
      </c>
    </row>
    <row r="1241" spans="1:3" x14ac:dyDescent="0.4">
      <c r="B1241">
        <v>1.8</v>
      </c>
      <c r="C1241">
        <v>1.45</v>
      </c>
    </row>
    <row r="1242" spans="1:3" x14ac:dyDescent="0.4">
      <c r="B1242">
        <v>1.85</v>
      </c>
      <c r="C1242">
        <v>1.7</v>
      </c>
    </row>
    <row r="1243" spans="1:3" x14ac:dyDescent="0.4">
      <c r="B1243">
        <v>1.8</v>
      </c>
      <c r="C1243">
        <v>1.4</v>
      </c>
    </row>
    <row r="1244" spans="1:3" x14ac:dyDescent="0.4">
      <c r="B1244">
        <v>2.1</v>
      </c>
      <c r="C1244">
        <v>1.5</v>
      </c>
    </row>
    <row r="1245" spans="1:3" x14ac:dyDescent="0.4">
      <c r="B1245">
        <v>2.15</v>
      </c>
      <c r="C1245">
        <v>1.6</v>
      </c>
    </row>
    <row r="1246" spans="1:3" x14ac:dyDescent="0.4">
      <c r="B1246">
        <v>1.65</v>
      </c>
      <c r="C1246">
        <v>1.5</v>
      </c>
    </row>
    <row r="1247" spans="1:3" x14ac:dyDescent="0.4">
      <c r="B1247">
        <v>2.2000000000000002</v>
      </c>
      <c r="C1247">
        <v>1.65</v>
      </c>
    </row>
    <row r="1248" spans="1:3" x14ac:dyDescent="0.4">
      <c r="B1248">
        <v>2.1</v>
      </c>
      <c r="C1248">
        <v>1.65</v>
      </c>
    </row>
    <row r="1249" spans="1:3" x14ac:dyDescent="0.4">
      <c r="B1249">
        <v>1.85</v>
      </c>
      <c r="C1249">
        <v>1.55</v>
      </c>
    </row>
    <row r="1250" spans="1:3" x14ac:dyDescent="0.4">
      <c r="B1250">
        <v>1.95</v>
      </c>
      <c r="C1250">
        <v>1.45</v>
      </c>
    </row>
    <row r="1251" spans="1:3" x14ac:dyDescent="0.4">
      <c r="B1251">
        <v>2</v>
      </c>
      <c r="C1251">
        <v>1.65</v>
      </c>
    </row>
    <row r="1252" spans="1:3" x14ac:dyDescent="0.4">
      <c r="B1252">
        <v>1.95</v>
      </c>
      <c r="C1252">
        <v>1.6</v>
      </c>
    </row>
    <row r="1253" spans="1:3" x14ac:dyDescent="0.4">
      <c r="B1253">
        <v>2</v>
      </c>
      <c r="C1253">
        <v>1.7</v>
      </c>
    </row>
    <row r="1254" spans="1:3" x14ac:dyDescent="0.4">
      <c r="B1254">
        <v>1.9</v>
      </c>
      <c r="C1254">
        <v>1.4</v>
      </c>
    </row>
    <row r="1255" spans="1:3" x14ac:dyDescent="0.4">
      <c r="B1255">
        <v>1.9</v>
      </c>
      <c r="C1255">
        <v>1.5</v>
      </c>
    </row>
    <row r="1256" spans="1:3" x14ac:dyDescent="0.4">
      <c r="B1256">
        <v>2.2000000000000002</v>
      </c>
      <c r="C1256">
        <v>1.7</v>
      </c>
    </row>
    <row r="1257" spans="1:3" x14ac:dyDescent="0.4">
      <c r="B1257">
        <v>2</v>
      </c>
      <c r="C1257">
        <v>1.55</v>
      </c>
    </row>
    <row r="1258" spans="1:3" x14ac:dyDescent="0.4">
      <c r="B1258">
        <v>2</v>
      </c>
      <c r="C1258">
        <v>1.6</v>
      </c>
    </row>
    <row r="1259" spans="1:3" x14ac:dyDescent="0.4">
      <c r="B1259">
        <v>1.85</v>
      </c>
      <c r="C1259">
        <v>1.5</v>
      </c>
    </row>
    <row r="1260" spans="1:3" x14ac:dyDescent="0.4">
      <c r="B1260">
        <v>1.95</v>
      </c>
      <c r="C1260">
        <v>1.5</v>
      </c>
    </row>
    <row r="1261" spans="1:3" x14ac:dyDescent="0.4">
      <c r="B1261">
        <f>AVERAGE(B1237:B1260)</f>
        <v>1.9812500000000002</v>
      </c>
      <c r="C1261">
        <f>AVERAGE(C1237:C1260)</f>
        <v>1.552083333333333</v>
      </c>
    </row>
    <row r="1263" spans="1:3" x14ac:dyDescent="0.4">
      <c r="A1263" t="s">
        <v>73</v>
      </c>
      <c r="B1263">
        <v>2.65</v>
      </c>
      <c r="C1263">
        <v>1.95</v>
      </c>
    </row>
    <row r="1264" spans="1:3" x14ac:dyDescent="0.4">
      <c r="B1264">
        <v>2.9</v>
      </c>
      <c r="C1264">
        <v>2.2000000000000002</v>
      </c>
    </row>
    <row r="1265" spans="2:3" x14ac:dyDescent="0.4">
      <c r="B1265">
        <v>2.8</v>
      </c>
      <c r="C1265">
        <v>1.95</v>
      </c>
    </row>
    <row r="1266" spans="2:3" x14ac:dyDescent="0.4">
      <c r="B1266">
        <v>2.5499999999999998</v>
      </c>
      <c r="C1266">
        <v>2</v>
      </c>
    </row>
    <row r="1267" spans="2:3" x14ac:dyDescent="0.4">
      <c r="B1267">
        <v>2.7</v>
      </c>
      <c r="C1267">
        <v>2.1</v>
      </c>
    </row>
    <row r="1268" spans="2:3" x14ac:dyDescent="0.4">
      <c r="B1268">
        <v>2.8</v>
      </c>
      <c r="C1268">
        <v>2.0499999999999998</v>
      </c>
    </row>
    <row r="1269" spans="2:3" x14ac:dyDescent="0.4">
      <c r="B1269">
        <v>3.2</v>
      </c>
      <c r="C1269">
        <v>2.1</v>
      </c>
    </row>
    <row r="1270" spans="2:3" x14ac:dyDescent="0.4">
      <c r="B1270">
        <v>3.25</v>
      </c>
      <c r="C1270">
        <v>2.1</v>
      </c>
    </row>
    <row r="1271" spans="2:3" x14ac:dyDescent="0.4">
      <c r="B1271">
        <v>2.7</v>
      </c>
      <c r="C1271">
        <v>1.95</v>
      </c>
    </row>
    <row r="1272" spans="2:3" x14ac:dyDescent="0.4">
      <c r="B1272">
        <v>2.7</v>
      </c>
      <c r="C1272">
        <v>2.15</v>
      </c>
    </row>
    <row r="1273" spans="2:3" x14ac:dyDescent="0.4">
      <c r="B1273">
        <v>2.85</v>
      </c>
      <c r="C1273">
        <v>2.2000000000000002</v>
      </c>
    </row>
    <row r="1274" spans="2:3" x14ac:dyDescent="0.4">
      <c r="B1274">
        <v>2.8</v>
      </c>
      <c r="C1274">
        <v>2.1</v>
      </c>
    </row>
    <row r="1275" spans="2:3" x14ac:dyDescent="0.4">
      <c r="B1275">
        <v>2.5499999999999998</v>
      </c>
      <c r="C1275">
        <v>2.15</v>
      </c>
    </row>
    <row r="1276" spans="2:3" x14ac:dyDescent="0.4">
      <c r="B1276">
        <v>2.7</v>
      </c>
      <c r="C1276">
        <v>1.95</v>
      </c>
    </row>
    <row r="1277" spans="2:3" x14ac:dyDescent="0.4">
      <c r="B1277">
        <v>2.75</v>
      </c>
      <c r="C1277">
        <v>2.1</v>
      </c>
    </row>
    <row r="1278" spans="2:3" x14ac:dyDescent="0.4">
      <c r="B1278">
        <v>2.65</v>
      </c>
      <c r="C1278">
        <v>2.1</v>
      </c>
    </row>
    <row r="1279" spans="2:3" x14ac:dyDescent="0.4">
      <c r="B1279">
        <v>2.8</v>
      </c>
      <c r="C1279">
        <v>2.1</v>
      </c>
    </row>
    <row r="1280" spans="2:3" x14ac:dyDescent="0.4">
      <c r="B1280">
        <v>2.5499999999999998</v>
      </c>
      <c r="C1280">
        <v>2.1</v>
      </c>
    </row>
    <row r="1281" spans="1:3" x14ac:dyDescent="0.4">
      <c r="B1281">
        <v>2.4</v>
      </c>
      <c r="C1281">
        <v>2</v>
      </c>
    </row>
    <row r="1282" spans="1:3" x14ac:dyDescent="0.4">
      <c r="B1282">
        <v>3.1</v>
      </c>
      <c r="C1282">
        <v>2.1</v>
      </c>
    </row>
    <row r="1283" spans="1:3" x14ac:dyDescent="0.4">
      <c r="B1283">
        <v>3.2</v>
      </c>
      <c r="C1283">
        <v>2.2000000000000002</v>
      </c>
    </row>
    <row r="1284" spans="1:3" x14ac:dyDescent="0.4">
      <c r="B1284">
        <v>2.7</v>
      </c>
      <c r="C1284">
        <v>2.1</v>
      </c>
    </row>
    <row r="1285" spans="1:3" x14ac:dyDescent="0.4">
      <c r="B1285">
        <v>3.55</v>
      </c>
      <c r="C1285">
        <v>2.1</v>
      </c>
    </row>
    <row r="1286" spans="1:3" x14ac:dyDescent="0.4">
      <c r="B1286">
        <v>2.7</v>
      </c>
      <c r="C1286">
        <v>2.2000000000000002</v>
      </c>
    </row>
    <row r="1287" spans="1:3" x14ac:dyDescent="0.4">
      <c r="B1287">
        <v>2.9</v>
      </c>
      <c r="C1287">
        <v>2.1</v>
      </c>
    </row>
    <row r="1288" spans="1:3" x14ac:dyDescent="0.4">
      <c r="B1288">
        <v>2.7</v>
      </c>
      <c r="C1288">
        <v>2</v>
      </c>
    </row>
    <row r="1289" spans="1:3" x14ac:dyDescent="0.4">
      <c r="B1289">
        <v>2.8</v>
      </c>
      <c r="C1289">
        <v>2.15</v>
      </c>
    </row>
    <row r="1290" spans="1:3" x14ac:dyDescent="0.4">
      <c r="B1290">
        <v>2.6</v>
      </c>
      <c r="C1290">
        <v>2.1</v>
      </c>
    </row>
    <row r="1291" spans="1:3" x14ac:dyDescent="0.4">
      <c r="B1291">
        <v>3.25</v>
      </c>
      <c r="C1291">
        <v>2.2000000000000002</v>
      </c>
    </row>
    <row r="1292" spans="1:3" x14ac:dyDescent="0.4">
      <c r="B1292">
        <v>2.4</v>
      </c>
      <c r="C1292">
        <v>2.1</v>
      </c>
    </row>
    <row r="1293" spans="1:3" x14ac:dyDescent="0.4">
      <c r="B1293">
        <f>AVERAGE(B1263:B1292)</f>
        <v>2.8066666666666666</v>
      </c>
      <c r="C1293">
        <f>AVERAGE(C1263:C1292)</f>
        <v>2.0900000000000007</v>
      </c>
    </row>
    <row r="1295" spans="1:3" x14ac:dyDescent="0.4">
      <c r="A1295" t="s">
        <v>110</v>
      </c>
      <c r="B1295">
        <v>1.65</v>
      </c>
      <c r="C1295">
        <v>1.8</v>
      </c>
    </row>
    <row r="1296" spans="1:3" x14ac:dyDescent="0.4">
      <c r="B1296">
        <v>2.4</v>
      </c>
      <c r="C1296">
        <v>1.9</v>
      </c>
    </row>
    <row r="1297" spans="1:3" x14ac:dyDescent="0.4">
      <c r="B1297">
        <v>2</v>
      </c>
      <c r="C1297">
        <v>1.9</v>
      </c>
    </row>
    <row r="1298" spans="1:3" x14ac:dyDescent="0.4">
      <c r="B1298">
        <v>2.9</v>
      </c>
      <c r="C1298">
        <v>2.25</v>
      </c>
    </row>
    <row r="1299" spans="1:3" x14ac:dyDescent="0.4">
      <c r="B1299">
        <v>1.8</v>
      </c>
      <c r="C1299">
        <v>1.45</v>
      </c>
    </row>
    <row r="1300" spans="1:3" x14ac:dyDescent="0.4">
      <c r="B1300">
        <v>2.2999999999999998</v>
      </c>
      <c r="C1300">
        <v>2.1</v>
      </c>
    </row>
    <row r="1301" spans="1:3" x14ac:dyDescent="0.4">
      <c r="B1301">
        <v>2.0499999999999998</v>
      </c>
      <c r="C1301">
        <v>1.9</v>
      </c>
    </row>
    <row r="1302" spans="1:3" x14ac:dyDescent="0.4">
      <c r="B1302">
        <f>AVERAGE(B1295:B1301)</f>
        <v>2.1571428571428575</v>
      </c>
      <c r="C1302">
        <f>AVERAGE(C1295:C1301)</f>
        <v>1.9</v>
      </c>
    </row>
    <row r="1304" spans="1:3" x14ac:dyDescent="0.4">
      <c r="A1304" t="s">
        <v>106</v>
      </c>
      <c r="B1304">
        <v>2.0499999999999998</v>
      </c>
      <c r="C1304">
        <v>2.1</v>
      </c>
    </row>
    <row r="1305" spans="1:3" x14ac:dyDescent="0.4">
      <c r="B1305">
        <v>2.2000000000000002</v>
      </c>
      <c r="C1305">
        <v>1.95</v>
      </c>
    </row>
    <row r="1306" spans="1:3" x14ac:dyDescent="0.4">
      <c r="B1306">
        <v>2.1</v>
      </c>
      <c r="C1306">
        <v>1.9</v>
      </c>
    </row>
    <row r="1307" spans="1:3" x14ac:dyDescent="0.4">
      <c r="B1307">
        <v>2.25</v>
      </c>
      <c r="C1307">
        <v>1.85</v>
      </c>
    </row>
    <row r="1308" spans="1:3" x14ac:dyDescent="0.4">
      <c r="B1308">
        <v>2.2000000000000002</v>
      </c>
      <c r="C1308">
        <v>2</v>
      </c>
    </row>
    <row r="1309" spans="1:3" x14ac:dyDescent="0.4">
      <c r="B1309">
        <f>AVERAGE(B1304:B1308)</f>
        <v>2.16</v>
      </c>
      <c r="C1309">
        <f>AVERAGE(C1304:C1308)</f>
        <v>1.9599999999999997</v>
      </c>
    </row>
    <row r="1311" spans="1:3" x14ac:dyDescent="0.4">
      <c r="A1311" t="s">
        <v>103</v>
      </c>
      <c r="B1311">
        <v>1.6</v>
      </c>
      <c r="C1311">
        <v>1.65</v>
      </c>
    </row>
    <row r="1312" spans="1:3" x14ac:dyDescent="0.4">
      <c r="B1312">
        <v>1.7</v>
      </c>
      <c r="C1312">
        <v>1.8</v>
      </c>
    </row>
    <row r="1313" spans="2:3" x14ac:dyDescent="0.4">
      <c r="B1313">
        <v>1.35</v>
      </c>
      <c r="C1313">
        <v>1.7</v>
      </c>
    </row>
    <row r="1314" spans="2:3" x14ac:dyDescent="0.4">
      <c r="B1314">
        <v>1.7</v>
      </c>
      <c r="C1314">
        <v>1.65</v>
      </c>
    </row>
    <row r="1315" spans="2:3" x14ac:dyDescent="0.4">
      <c r="B1315">
        <v>2.15</v>
      </c>
      <c r="C1315">
        <v>1.6</v>
      </c>
    </row>
    <row r="1316" spans="2:3" x14ac:dyDescent="0.4">
      <c r="B1316">
        <v>1.65</v>
      </c>
      <c r="C1316">
        <v>1.6</v>
      </c>
    </row>
    <row r="1317" spans="2:3" x14ac:dyDescent="0.4">
      <c r="B1317">
        <v>1.6</v>
      </c>
      <c r="C1317">
        <v>1.6</v>
      </c>
    </row>
    <row r="1318" spans="2:3" x14ac:dyDescent="0.4">
      <c r="B1318">
        <v>1.7</v>
      </c>
      <c r="C1318">
        <v>1.85</v>
      </c>
    </row>
    <row r="1319" spans="2:3" x14ac:dyDescent="0.4">
      <c r="B1319">
        <v>1.9</v>
      </c>
      <c r="C1319">
        <v>1.9</v>
      </c>
    </row>
    <row r="1320" spans="2:3" x14ac:dyDescent="0.4">
      <c r="B1320">
        <v>1.7</v>
      </c>
      <c r="C1320">
        <v>1.8</v>
      </c>
    </row>
    <row r="1321" spans="2:3" x14ac:dyDescent="0.4">
      <c r="B1321">
        <v>1.9</v>
      </c>
      <c r="C1321">
        <v>1.75</v>
      </c>
    </row>
    <row r="1322" spans="2:3" x14ac:dyDescent="0.4">
      <c r="B1322">
        <v>1.5</v>
      </c>
      <c r="C1322">
        <v>1.65</v>
      </c>
    </row>
    <row r="1323" spans="2:3" x14ac:dyDescent="0.4">
      <c r="B1323">
        <v>1.6</v>
      </c>
      <c r="C1323">
        <v>1.65</v>
      </c>
    </row>
    <row r="1324" spans="2:3" x14ac:dyDescent="0.4">
      <c r="B1324">
        <v>1.7</v>
      </c>
      <c r="C1324">
        <v>1.7</v>
      </c>
    </row>
    <row r="1325" spans="2:3" x14ac:dyDescent="0.4">
      <c r="B1325">
        <v>1.55</v>
      </c>
      <c r="C1325">
        <v>1.65</v>
      </c>
    </row>
    <row r="1326" spans="2:3" x14ac:dyDescent="0.4">
      <c r="B1326">
        <v>1.95</v>
      </c>
      <c r="C1326">
        <v>1.8</v>
      </c>
    </row>
    <row r="1327" spans="2:3" x14ac:dyDescent="0.4">
      <c r="B1327">
        <v>1.45</v>
      </c>
      <c r="C1327">
        <v>1.5</v>
      </c>
    </row>
    <row r="1328" spans="2:3" x14ac:dyDescent="0.4">
      <c r="B1328">
        <f>AVERAGE(B1311:B1327)</f>
        <v>1.6882352941176471</v>
      </c>
      <c r="C1328">
        <f>AVERAGE(C1311:C1327)</f>
        <v>1.6970588235294115</v>
      </c>
    </row>
    <row r="1330" spans="1:3" x14ac:dyDescent="0.4">
      <c r="A1330" t="s">
        <v>123</v>
      </c>
      <c r="B1330">
        <v>2.7</v>
      </c>
      <c r="C1330">
        <v>2.1</v>
      </c>
    </row>
    <row r="1331" spans="1:3" x14ac:dyDescent="0.4">
      <c r="B1331">
        <v>2.95</v>
      </c>
      <c r="C1331">
        <v>2.2999999999999998</v>
      </c>
    </row>
    <row r="1332" spans="1:3" x14ac:dyDescent="0.4">
      <c r="B1332">
        <v>2.8</v>
      </c>
      <c r="C1332">
        <v>2.25</v>
      </c>
    </row>
    <row r="1333" spans="1:3" x14ac:dyDescent="0.4">
      <c r="B1333">
        <v>2.9</v>
      </c>
      <c r="C1333">
        <v>2.2000000000000002</v>
      </c>
    </row>
    <row r="1334" spans="1:3" x14ac:dyDescent="0.4">
      <c r="B1334">
        <v>2.5</v>
      </c>
      <c r="C1334">
        <v>2.2000000000000002</v>
      </c>
    </row>
    <row r="1335" spans="1:3" x14ac:dyDescent="0.4">
      <c r="B1335">
        <v>2</v>
      </c>
      <c r="C1335">
        <v>1.95</v>
      </c>
    </row>
    <row r="1336" spans="1:3" x14ac:dyDescent="0.4">
      <c r="B1336">
        <v>2.1</v>
      </c>
      <c r="C1336">
        <v>2</v>
      </c>
    </row>
    <row r="1337" spans="1:3" x14ac:dyDescent="0.4">
      <c r="B1337">
        <v>2.8</v>
      </c>
      <c r="C1337">
        <v>2.2999999999999998</v>
      </c>
    </row>
    <row r="1338" spans="1:3" x14ac:dyDescent="0.4">
      <c r="B1338">
        <v>3.1</v>
      </c>
      <c r="C1338">
        <v>2.2000000000000002</v>
      </c>
    </row>
    <row r="1339" spans="1:3" x14ac:dyDescent="0.4">
      <c r="B1339">
        <v>2.35</v>
      </c>
      <c r="C1339">
        <v>2.2999999999999998</v>
      </c>
    </row>
    <row r="1340" spans="1:3" x14ac:dyDescent="0.4">
      <c r="B1340">
        <v>1.9</v>
      </c>
      <c r="C1340">
        <v>1.8</v>
      </c>
    </row>
    <row r="1341" spans="1:3" x14ac:dyDescent="0.4">
      <c r="B1341">
        <v>2.8</v>
      </c>
      <c r="C1341">
        <v>2.25</v>
      </c>
    </row>
    <row r="1342" spans="1:3" x14ac:dyDescent="0.4">
      <c r="B1342">
        <v>2.2000000000000002</v>
      </c>
      <c r="C1342">
        <v>1.9</v>
      </c>
    </row>
    <row r="1343" spans="1:3" x14ac:dyDescent="0.4">
      <c r="B1343">
        <v>2.2999999999999998</v>
      </c>
      <c r="C1343">
        <v>2.2999999999999998</v>
      </c>
    </row>
    <row r="1344" spans="1:3" x14ac:dyDescent="0.4">
      <c r="B1344">
        <f>AVERAGE(B1330:B1343)</f>
        <v>2.5285714285714285</v>
      </c>
      <c r="C1344">
        <f>AVERAGE(C1330:C1343)</f>
        <v>2.1464285714285714</v>
      </c>
    </row>
    <row r="1346" spans="1:3" x14ac:dyDescent="0.4">
      <c r="A1346" t="s">
        <v>100</v>
      </c>
      <c r="B1346">
        <v>1.8</v>
      </c>
      <c r="C1346">
        <v>1.6</v>
      </c>
    </row>
    <row r="1347" spans="1:3" x14ac:dyDescent="0.4">
      <c r="B1347">
        <v>1.9</v>
      </c>
      <c r="C1347">
        <v>1.9</v>
      </c>
    </row>
    <row r="1348" spans="1:3" x14ac:dyDescent="0.4">
      <c r="B1348">
        <v>1.9</v>
      </c>
      <c r="C1348">
        <v>1.8</v>
      </c>
    </row>
    <row r="1349" spans="1:3" x14ac:dyDescent="0.4">
      <c r="B1349">
        <v>2.0499999999999998</v>
      </c>
      <c r="C1349">
        <v>2.1</v>
      </c>
    </row>
    <row r="1350" spans="1:3" x14ac:dyDescent="0.4">
      <c r="B1350">
        <v>2</v>
      </c>
      <c r="C1350">
        <v>2.0499999999999998</v>
      </c>
    </row>
    <row r="1351" spans="1:3" x14ac:dyDescent="0.4">
      <c r="B1351">
        <v>2.25</v>
      </c>
      <c r="C1351">
        <v>2.1</v>
      </c>
    </row>
    <row r="1352" spans="1:3" x14ac:dyDescent="0.4">
      <c r="B1352">
        <v>1.6</v>
      </c>
      <c r="C1352">
        <v>1.75</v>
      </c>
    </row>
    <row r="1353" spans="1:3" x14ac:dyDescent="0.4">
      <c r="B1353">
        <v>1.9</v>
      </c>
      <c r="C1353">
        <v>1.95</v>
      </c>
    </row>
    <row r="1354" spans="1:3" x14ac:dyDescent="0.4">
      <c r="B1354">
        <v>2.2000000000000002</v>
      </c>
      <c r="C1354">
        <v>2.2000000000000002</v>
      </c>
    </row>
    <row r="1355" spans="1:3" x14ac:dyDescent="0.4">
      <c r="B1355">
        <v>1.9</v>
      </c>
      <c r="C1355">
        <v>1.85</v>
      </c>
    </row>
    <row r="1356" spans="1:3" x14ac:dyDescent="0.4">
      <c r="B1356">
        <v>1.95</v>
      </c>
      <c r="C1356">
        <v>2.1</v>
      </c>
    </row>
    <row r="1357" spans="1:3" x14ac:dyDescent="0.4">
      <c r="B1357">
        <v>1.8</v>
      </c>
      <c r="C1357">
        <v>1.9</v>
      </c>
    </row>
    <row r="1358" spans="1:3" x14ac:dyDescent="0.4">
      <c r="B1358">
        <v>1.9</v>
      </c>
      <c r="C1358">
        <v>2</v>
      </c>
    </row>
    <row r="1359" spans="1:3" x14ac:dyDescent="0.4">
      <c r="B1359">
        <v>1.7</v>
      </c>
      <c r="C1359">
        <v>1.95</v>
      </c>
    </row>
    <row r="1360" spans="1:3" x14ac:dyDescent="0.4">
      <c r="B1360">
        <v>1.7</v>
      </c>
      <c r="C1360">
        <v>1.8</v>
      </c>
    </row>
    <row r="1361" spans="1:3" x14ac:dyDescent="0.4">
      <c r="B1361">
        <v>1.9</v>
      </c>
      <c r="C1361">
        <v>1.9</v>
      </c>
    </row>
    <row r="1362" spans="1:3" x14ac:dyDescent="0.4">
      <c r="B1362">
        <v>1.8</v>
      </c>
      <c r="C1362">
        <v>1.6</v>
      </c>
    </row>
    <row r="1363" spans="1:3" x14ac:dyDescent="0.4">
      <c r="B1363">
        <f>AVERAGE(B1346:B1362)</f>
        <v>1.8970588235294112</v>
      </c>
      <c r="C1363">
        <f>AVERAGE(C1346:C1362)</f>
        <v>1.914705882352941</v>
      </c>
    </row>
    <row r="1365" spans="1:3" x14ac:dyDescent="0.4">
      <c r="A1365" t="s">
        <v>76</v>
      </c>
      <c r="B1365">
        <v>1.5</v>
      </c>
      <c r="C1365">
        <v>1.95</v>
      </c>
    </row>
    <row r="1366" spans="1:3" x14ac:dyDescent="0.4">
      <c r="B1366">
        <v>1.3</v>
      </c>
      <c r="C1366">
        <v>1.8</v>
      </c>
    </row>
    <row r="1367" spans="1:3" x14ac:dyDescent="0.4">
      <c r="B1367">
        <v>1.5</v>
      </c>
      <c r="C1367">
        <v>1.8</v>
      </c>
    </row>
    <row r="1368" spans="1:3" x14ac:dyDescent="0.4">
      <c r="B1368">
        <v>2</v>
      </c>
      <c r="C1368">
        <v>2.2000000000000002</v>
      </c>
    </row>
    <row r="1369" spans="1:3" x14ac:dyDescent="0.4">
      <c r="B1369">
        <v>1.9</v>
      </c>
      <c r="C1369">
        <v>2.1</v>
      </c>
    </row>
    <row r="1370" spans="1:3" x14ac:dyDescent="0.4">
      <c r="B1370">
        <v>1.5</v>
      </c>
      <c r="C1370">
        <v>1.9</v>
      </c>
    </row>
    <row r="1371" spans="1:3" x14ac:dyDescent="0.4">
      <c r="B1371">
        <v>1.6</v>
      </c>
      <c r="C1371">
        <v>1.8</v>
      </c>
    </row>
    <row r="1372" spans="1:3" x14ac:dyDescent="0.4">
      <c r="B1372">
        <v>1.55</v>
      </c>
      <c r="C1372">
        <v>2</v>
      </c>
    </row>
    <row r="1373" spans="1:3" x14ac:dyDescent="0.4">
      <c r="B1373">
        <v>1.8</v>
      </c>
      <c r="C1373">
        <v>2.0499999999999998</v>
      </c>
    </row>
    <row r="1374" spans="1:3" x14ac:dyDescent="0.4">
      <c r="B1374">
        <v>2</v>
      </c>
      <c r="C1374">
        <v>2.1</v>
      </c>
    </row>
    <row r="1375" spans="1:3" x14ac:dyDescent="0.4">
      <c r="B1375">
        <v>2.2000000000000002</v>
      </c>
      <c r="C1375">
        <v>2</v>
      </c>
    </row>
    <row r="1376" spans="1:3" x14ac:dyDescent="0.4">
      <c r="B1376">
        <f>AVERAGE(B1365:B1375)</f>
        <v>1.7136363636363634</v>
      </c>
      <c r="C1376">
        <f>AVERAGE(C1365:C1375)</f>
        <v>1.9727272727272729</v>
      </c>
    </row>
    <row r="1378" spans="1:3" x14ac:dyDescent="0.4">
      <c r="A1378" t="s">
        <v>94</v>
      </c>
      <c r="B1378">
        <v>2.1</v>
      </c>
      <c r="C1378">
        <v>1.55</v>
      </c>
    </row>
    <row r="1379" spans="1:3" x14ac:dyDescent="0.4">
      <c r="B1379">
        <v>1.6</v>
      </c>
      <c r="C1379">
        <v>1.45</v>
      </c>
    </row>
    <row r="1380" spans="1:3" x14ac:dyDescent="0.4">
      <c r="B1380">
        <v>1.95</v>
      </c>
      <c r="C1380">
        <v>1.5</v>
      </c>
    </row>
    <row r="1381" spans="1:3" x14ac:dyDescent="0.4">
      <c r="B1381">
        <v>1.85</v>
      </c>
      <c r="C1381">
        <v>1.45</v>
      </c>
    </row>
    <row r="1382" spans="1:3" x14ac:dyDescent="0.4">
      <c r="B1382">
        <v>2.4500000000000002</v>
      </c>
      <c r="C1382">
        <v>1.6</v>
      </c>
    </row>
    <row r="1383" spans="1:3" x14ac:dyDescent="0.4">
      <c r="B1383">
        <v>1.95</v>
      </c>
      <c r="C1383">
        <v>1.6</v>
      </c>
    </row>
    <row r="1384" spans="1:3" x14ac:dyDescent="0.4">
      <c r="B1384">
        <v>1.8</v>
      </c>
      <c r="C1384">
        <v>1.5</v>
      </c>
    </row>
    <row r="1385" spans="1:3" x14ac:dyDescent="0.4">
      <c r="B1385">
        <v>1.95</v>
      </c>
      <c r="C1385">
        <v>1.6</v>
      </c>
    </row>
    <row r="1386" spans="1:3" x14ac:dyDescent="0.4">
      <c r="B1386">
        <v>1.7</v>
      </c>
      <c r="C1386">
        <v>1.5</v>
      </c>
    </row>
    <row r="1387" spans="1:3" x14ac:dyDescent="0.4">
      <c r="B1387">
        <v>1.75</v>
      </c>
      <c r="C1387">
        <v>1.55</v>
      </c>
    </row>
    <row r="1388" spans="1:3" x14ac:dyDescent="0.4">
      <c r="B1388">
        <v>1.7</v>
      </c>
      <c r="C1388">
        <v>1.4</v>
      </c>
    </row>
    <row r="1389" spans="1:3" x14ac:dyDescent="0.4">
      <c r="B1389">
        <v>1.9</v>
      </c>
      <c r="C1389">
        <v>1.5</v>
      </c>
    </row>
    <row r="1390" spans="1:3" x14ac:dyDescent="0.4">
      <c r="B1390">
        <v>1.7</v>
      </c>
      <c r="C1390">
        <v>1.45</v>
      </c>
    </row>
    <row r="1391" spans="1:3" x14ac:dyDescent="0.4">
      <c r="B1391">
        <v>1.95</v>
      </c>
      <c r="C1391">
        <v>1.4</v>
      </c>
    </row>
    <row r="1392" spans="1:3" x14ac:dyDescent="0.4">
      <c r="B1392">
        <v>2</v>
      </c>
      <c r="C1392">
        <v>1.5</v>
      </c>
    </row>
    <row r="1393" spans="1:3" x14ac:dyDescent="0.4">
      <c r="B1393">
        <v>1.95</v>
      </c>
      <c r="C1393">
        <v>1.6</v>
      </c>
    </row>
    <row r="1394" spans="1:3" x14ac:dyDescent="0.4">
      <c r="B1394">
        <v>1.7</v>
      </c>
      <c r="C1394">
        <v>1.35</v>
      </c>
    </row>
    <row r="1395" spans="1:3" x14ac:dyDescent="0.4">
      <c r="B1395">
        <v>1.8</v>
      </c>
      <c r="C1395">
        <v>1.3</v>
      </c>
    </row>
    <row r="1396" spans="1:3" x14ac:dyDescent="0.4">
      <c r="B1396">
        <v>2</v>
      </c>
      <c r="C1396">
        <v>1.5</v>
      </c>
    </row>
    <row r="1397" spans="1:3" x14ac:dyDescent="0.4">
      <c r="B1397">
        <v>1.8</v>
      </c>
      <c r="C1397">
        <v>1.55</v>
      </c>
    </row>
    <row r="1398" spans="1:3" x14ac:dyDescent="0.4">
      <c r="B1398">
        <v>1.95</v>
      </c>
      <c r="C1398">
        <v>1.6</v>
      </c>
    </row>
    <row r="1399" spans="1:3" x14ac:dyDescent="0.4">
      <c r="B1399">
        <f>AVERAGE(B1378:B1398)</f>
        <v>1.8833333333333329</v>
      </c>
      <c r="C1399">
        <f>AVERAGE(C1378:C1398)</f>
        <v>1.4976190476190478</v>
      </c>
    </row>
    <row r="1401" spans="1:3" x14ac:dyDescent="0.4">
      <c r="A1401" t="s">
        <v>79</v>
      </c>
      <c r="B1401">
        <v>2.7</v>
      </c>
      <c r="C1401">
        <v>1.6</v>
      </c>
    </row>
    <row r="1402" spans="1:3" x14ac:dyDescent="0.4">
      <c r="B1402">
        <v>2.6</v>
      </c>
      <c r="C1402">
        <v>1.6</v>
      </c>
    </row>
    <row r="1403" spans="1:3" x14ac:dyDescent="0.4">
      <c r="B1403">
        <v>2.5499999999999998</v>
      </c>
      <c r="C1403">
        <v>1.7</v>
      </c>
    </row>
    <row r="1404" spans="1:3" x14ac:dyDescent="0.4">
      <c r="B1404">
        <v>2.1</v>
      </c>
      <c r="C1404">
        <v>1.6</v>
      </c>
    </row>
    <row r="1405" spans="1:3" x14ac:dyDescent="0.4">
      <c r="B1405">
        <v>2.6</v>
      </c>
      <c r="C1405">
        <v>1.6</v>
      </c>
    </row>
    <row r="1406" spans="1:3" x14ac:dyDescent="0.4">
      <c r="B1406">
        <v>2.4</v>
      </c>
      <c r="C1406">
        <v>1.45</v>
      </c>
    </row>
    <row r="1407" spans="1:3" x14ac:dyDescent="0.4">
      <c r="B1407">
        <v>2.5499999999999998</v>
      </c>
      <c r="C1407">
        <v>1.55</v>
      </c>
    </row>
    <row r="1408" spans="1:3" x14ac:dyDescent="0.4">
      <c r="B1408">
        <v>2.0499999999999998</v>
      </c>
      <c r="C1408">
        <v>1.55</v>
      </c>
    </row>
    <row r="1409" spans="1:3" x14ac:dyDescent="0.4">
      <c r="B1409">
        <v>2.1</v>
      </c>
      <c r="C1409">
        <v>1.5</v>
      </c>
    </row>
    <row r="1410" spans="1:3" x14ac:dyDescent="0.4">
      <c r="B1410">
        <v>2.6</v>
      </c>
      <c r="C1410">
        <v>1.6</v>
      </c>
    </row>
    <row r="1411" spans="1:3" x14ac:dyDescent="0.4">
      <c r="B1411">
        <v>2.5</v>
      </c>
      <c r="C1411">
        <v>1.65</v>
      </c>
    </row>
    <row r="1412" spans="1:3" x14ac:dyDescent="0.4">
      <c r="B1412">
        <v>2.4500000000000002</v>
      </c>
      <c r="C1412">
        <v>1.6</v>
      </c>
    </row>
    <row r="1413" spans="1:3" x14ac:dyDescent="0.4">
      <c r="B1413">
        <v>2.65</v>
      </c>
      <c r="C1413">
        <v>1.7</v>
      </c>
    </row>
    <row r="1414" spans="1:3" x14ac:dyDescent="0.4">
      <c r="B1414">
        <v>2.5499999999999998</v>
      </c>
      <c r="C1414">
        <v>1.75</v>
      </c>
    </row>
    <row r="1415" spans="1:3" x14ac:dyDescent="0.4">
      <c r="B1415">
        <v>2.4</v>
      </c>
      <c r="C1415">
        <v>1.75</v>
      </c>
    </row>
    <row r="1416" spans="1:3" x14ac:dyDescent="0.4">
      <c r="B1416">
        <v>2.4</v>
      </c>
      <c r="C1416">
        <v>1.7</v>
      </c>
    </row>
    <row r="1417" spans="1:3" x14ac:dyDescent="0.4">
      <c r="B1417">
        <v>2.25</v>
      </c>
      <c r="C1417">
        <v>1.7</v>
      </c>
    </row>
    <row r="1418" spans="1:3" x14ac:dyDescent="0.4">
      <c r="B1418">
        <f>AVERAGE(B1401:B1417)</f>
        <v>2.4382352941176468</v>
      </c>
      <c r="C1418">
        <f>AVERAGE(C1401:C1417)</f>
        <v>1.6235294117647057</v>
      </c>
    </row>
    <row r="1420" spans="1:3" x14ac:dyDescent="0.4">
      <c r="A1420" t="s">
        <v>121</v>
      </c>
      <c r="B1420">
        <v>2.7</v>
      </c>
      <c r="C1420">
        <v>2.1</v>
      </c>
    </row>
    <row r="1421" spans="1:3" x14ac:dyDescent="0.4">
      <c r="B1421">
        <v>2.15</v>
      </c>
      <c r="C1421">
        <v>1.9</v>
      </c>
    </row>
    <row r="1422" spans="1:3" x14ac:dyDescent="0.4">
      <c r="B1422">
        <v>2.7</v>
      </c>
      <c r="C1422">
        <v>2.1</v>
      </c>
    </row>
    <row r="1423" spans="1:3" x14ac:dyDescent="0.4">
      <c r="B1423">
        <v>2.7</v>
      </c>
      <c r="C1423">
        <v>2.1</v>
      </c>
    </row>
    <row r="1424" spans="1:3" x14ac:dyDescent="0.4">
      <c r="B1424">
        <v>2.6</v>
      </c>
      <c r="C1424">
        <v>1.95</v>
      </c>
    </row>
    <row r="1425" spans="1:3" x14ac:dyDescent="0.4">
      <c r="B1425">
        <v>2.2999999999999998</v>
      </c>
      <c r="C1425">
        <v>2</v>
      </c>
    </row>
    <row r="1426" spans="1:3" x14ac:dyDescent="0.4">
      <c r="B1426">
        <v>2.15</v>
      </c>
      <c r="C1426">
        <v>2.1</v>
      </c>
    </row>
    <row r="1427" spans="1:3" x14ac:dyDescent="0.4">
      <c r="B1427">
        <f>AVERAGE(B1420:B1426)</f>
        <v>2.4714285714285711</v>
      </c>
      <c r="C1427">
        <f>AVERAGE(C1420:C1426)</f>
        <v>2.0357142857142856</v>
      </c>
    </row>
    <row r="1429" spans="1:3" x14ac:dyDescent="0.4">
      <c r="A1429" t="s">
        <v>75</v>
      </c>
      <c r="B1429">
        <v>2.6</v>
      </c>
      <c r="C1429">
        <v>2.4</v>
      </c>
    </row>
    <row r="1430" spans="1:3" x14ac:dyDescent="0.4">
      <c r="B1430">
        <v>2.5499999999999998</v>
      </c>
      <c r="C1430">
        <v>2.35</v>
      </c>
    </row>
    <row r="1431" spans="1:3" x14ac:dyDescent="0.4">
      <c r="B1431">
        <v>2.65</v>
      </c>
      <c r="C1431">
        <v>2.2000000000000002</v>
      </c>
    </row>
    <row r="1432" spans="1:3" x14ac:dyDescent="0.4">
      <c r="B1432">
        <v>2.2999999999999998</v>
      </c>
      <c r="C1432">
        <v>2.15</v>
      </c>
    </row>
    <row r="1433" spans="1:3" x14ac:dyDescent="0.4">
      <c r="B1433">
        <v>2.4</v>
      </c>
      <c r="C1433">
        <v>2.2999999999999998</v>
      </c>
    </row>
    <row r="1434" spans="1:3" x14ac:dyDescent="0.4">
      <c r="B1434">
        <v>2.15</v>
      </c>
      <c r="C1434">
        <v>2.2999999999999998</v>
      </c>
    </row>
    <row r="1435" spans="1:3" x14ac:dyDescent="0.4">
      <c r="B1435">
        <v>2.1</v>
      </c>
      <c r="C1435">
        <v>2.0499999999999998</v>
      </c>
    </row>
    <row r="1436" spans="1:3" x14ac:dyDescent="0.4">
      <c r="B1436">
        <v>2.2999999999999998</v>
      </c>
      <c r="C1436">
        <v>2.2999999999999998</v>
      </c>
    </row>
    <row r="1437" spans="1:3" x14ac:dyDescent="0.4">
      <c r="B1437">
        <v>2.4</v>
      </c>
      <c r="C1437">
        <v>2.15</v>
      </c>
    </row>
    <row r="1438" spans="1:3" x14ac:dyDescent="0.4">
      <c r="B1438">
        <v>2.25</v>
      </c>
      <c r="C1438">
        <v>2.25</v>
      </c>
    </row>
    <row r="1439" spans="1:3" x14ac:dyDescent="0.4">
      <c r="B1439">
        <v>2.15</v>
      </c>
      <c r="C1439">
        <v>2.2000000000000002</v>
      </c>
    </row>
    <row r="1440" spans="1:3" x14ac:dyDescent="0.4">
      <c r="B1440">
        <v>2.7</v>
      </c>
      <c r="C1440">
        <v>2.4</v>
      </c>
    </row>
    <row r="1441" spans="1:3" x14ac:dyDescent="0.4">
      <c r="B1441">
        <v>2.6</v>
      </c>
      <c r="C1441">
        <v>2.2000000000000002</v>
      </c>
    </row>
    <row r="1442" spans="1:3" x14ac:dyDescent="0.4">
      <c r="B1442">
        <v>2.7</v>
      </c>
      <c r="C1442">
        <v>2.4500000000000002</v>
      </c>
    </row>
    <row r="1443" spans="1:3" x14ac:dyDescent="0.4">
      <c r="B1443">
        <v>2.25</v>
      </c>
      <c r="C1443">
        <v>2.2000000000000002</v>
      </c>
    </row>
    <row r="1444" spans="1:3" x14ac:dyDescent="0.4">
      <c r="B1444">
        <v>2.65</v>
      </c>
      <c r="C1444">
        <v>2.2999999999999998</v>
      </c>
    </row>
    <row r="1445" spans="1:3" x14ac:dyDescent="0.4">
      <c r="B1445">
        <f>AVERAGE(B1429:B1444)</f>
        <v>2.421875</v>
      </c>
      <c r="C1445">
        <f>AVERAGE(C1429:C1444)</f>
        <v>2.2624999999999997</v>
      </c>
    </row>
    <row r="1447" spans="1:3" x14ac:dyDescent="0.4">
      <c r="A1447" t="s">
        <v>90</v>
      </c>
      <c r="B1447">
        <v>2.25</v>
      </c>
      <c r="C1447">
        <v>2.15</v>
      </c>
    </row>
    <row r="1448" spans="1:3" x14ac:dyDescent="0.4">
      <c r="B1448">
        <v>2.2000000000000002</v>
      </c>
      <c r="C1448">
        <v>2.25</v>
      </c>
    </row>
    <row r="1449" spans="1:3" x14ac:dyDescent="0.4">
      <c r="B1449">
        <v>2.75</v>
      </c>
      <c r="C1449">
        <v>2.2000000000000002</v>
      </c>
    </row>
    <row r="1450" spans="1:3" x14ac:dyDescent="0.4">
      <c r="B1450">
        <v>2.2000000000000002</v>
      </c>
      <c r="C1450">
        <v>2.1</v>
      </c>
    </row>
    <row r="1451" spans="1:3" x14ac:dyDescent="0.4">
      <c r="B1451">
        <v>2.8</v>
      </c>
      <c r="C1451">
        <v>2.2999999999999998</v>
      </c>
    </row>
    <row r="1452" spans="1:3" x14ac:dyDescent="0.4">
      <c r="B1452">
        <v>2.4500000000000002</v>
      </c>
      <c r="C1452">
        <v>2.25</v>
      </c>
    </row>
    <row r="1453" spans="1:3" x14ac:dyDescent="0.4">
      <c r="B1453">
        <v>2.4500000000000002</v>
      </c>
      <c r="C1453">
        <v>1.85</v>
      </c>
    </row>
    <row r="1454" spans="1:3" x14ac:dyDescent="0.4">
      <c r="B1454">
        <v>2.1</v>
      </c>
      <c r="C1454">
        <v>2</v>
      </c>
    </row>
    <row r="1455" spans="1:3" x14ac:dyDescent="0.4">
      <c r="B1455">
        <v>2.6</v>
      </c>
      <c r="C1455">
        <v>2.0499999999999998</v>
      </c>
    </row>
    <row r="1456" spans="1:3" x14ac:dyDescent="0.4">
      <c r="B1456">
        <v>2.5</v>
      </c>
      <c r="C1456">
        <v>2.2999999999999998</v>
      </c>
    </row>
    <row r="1457" spans="2:3" x14ac:dyDescent="0.4">
      <c r="B1457">
        <v>2.4</v>
      </c>
      <c r="C1457">
        <v>2.2999999999999998</v>
      </c>
    </row>
    <row r="1458" spans="2:3" x14ac:dyDescent="0.4">
      <c r="B1458">
        <v>2.2999999999999998</v>
      </c>
      <c r="C1458">
        <v>2.2999999999999998</v>
      </c>
    </row>
    <row r="1459" spans="2:3" x14ac:dyDescent="0.4">
      <c r="B1459">
        <v>2.5499999999999998</v>
      </c>
      <c r="C1459">
        <v>2.2000000000000002</v>
      </c>
    </row>
    <row r="1460" spans="2:3" x14ac:dyDescent="0.4">
      <c r="B1460">
        <v>2</v>
      </c>
      <c r="C1460">
        <v>1.9</v>
      </c>
    </row>
    <row r="1461" spans="2:3" x14ac:dyDescent="0.4">
      <c r="B1461">
        <v>2.2000000000000002</v>
      </c>
      <c r="C1461">
        <v>2</v>
      </c>
    </row>
    <row r="1462" spans="2:3" x14ac:dyDescent="0.4">
      <c r="B1462">
        <v>1.9</v>
      </c>
      <c r="C1462">
        <v>1.95</v>
      </c>
    </row>
    <row r="1463" spans="2:3" x14ac:dyDescent="0.4">
      <c r="B1463">
        <v>2.4</v>
      </c>
      <c r="C1463">
        <v>2.2000000000000002</v>
      </c>
    </row>
    <row r="1464" spans="2:3" x14ac:dyDescent="0.4">
      <c r="B1464">
        <v>2.7</v>
      </c>
      <c r="C1464">
        <v>2.2000000000000002</v>
      </c>
    </row>
    <row r="1465" spans="2:3" x14ac:dyDescent="0.4">
      <c r="B1465">
        <v>2.4</v>
      </c>
      <c r="C1465">
        <v>2.0499999999999998</v>
      </c>
    </row>
    <row r="1466" spans="2:3" x14ac:dyDescent="0.4">
      <c r="B1466">
        <v>2.2000000000000002</v>
      </c>
      <c r="C1466">
        <v>2</v>
      </c>
    </row>
    <row r="1467" spans="2:3" x14ac:dyDescent="0.4">
      <c r="B1467">
        <v>2.95</v>
      </c>
      <c r="C1467">
        <v>2.1</v>
      </c>
    </row>
    <row r="1468" spans="2:3" x14ac:dyDescent="0.4">
      <c r="B1468">
        <v>2.15</v>
      </c>
      <c r="C1468">
        <v>2.2999999999999998</v>
      </c>
    </row>
    <row r="1469" spans="2:3" x14ac:dyDescent="0.4">
      <c r="B1469">
        <v>2.2999999999999998</v>
      </c>
      <c r="C1469">
        <v>2.15</v>
      </c>
    </row>
    <row r="1470" spans="2:3" x14ac:dyDescent="0.4">
      <c r="B1470">
        <v>2.6</v>
      </c>
      <c r="C1470">
        <v>2.2999999999999998</v>
      </c>
    </row>
    <row r="1471" spans="2:3" x14ac:dyDescent="0.4">
      <c r="B1471">
        <f>AVERAGE(B1447:B1470)</f>
        <v>2.3895833333333334</v>
      </c>
      <c r="C1471">
        <f>AVERAGE(C1447:C1470)</f>
        <v>2.1416666666666671</v>
      </c>
    </row>
    <row r="1473" spans="1:3" x14ac:dyDescent="0.4">
      <c r="A1473" t="s">
        <v>69</v>
      </c>
      <c r="B1473">
        <v>2.2999999999999998</v>
      </c>
      <c r="C1473">
        <v>2.1</v>
      </c>
    </row>
    <row r="1474" spans="1:3" x14ac:dyDescent="0.4">
      <c r="B1474">
        <v>2.2000000000000002</v>
      </c>
      <c r="C1474">
        <v>2.1</v>
      </c>
    </row>
    <row r="1475" spans="1:3" x14ac:dyDescent="0.4">
      <c r="B1475">
        <v>2.0499999999999998</v>
      </c>
      <c r="C1475">
        <v>2.1</v>
      </c>
    </row>
    <row r="1476" spans="1:3" x14ac:dyDescent="0.4">
      <c r="B1476">
        <v>1.6</v>
      </c>
      <c r="C1476">
        <v>1.85</v>
      </c>
    </row>
    <row r="1477" spans="1:3" x14ac:dyDescent="0.4">
      <c r="B1477">
        <v>2.1</v>
      </c>
      <c r="C1477">
        <v>2.2000000000000002</v>
      </c>
    </row>
    <row r="1478" spans="1:3" x14ac:dyDescent="0.4">
      <c r="B1478">
        <v>2.1</v>
      </c>
      <c r="C1478">
        <v>2.1</v>
      </c>
    </row>
    <row r="1479" spans="1:3" x14ac:dyDescent="0.4">
      <c r="B1479">
        <v>1.85</v>
      </c>
      <c r="C1479">
        <v>2.0499999999999998</v>
      </c>
    </row>
    <row r="1480" spans="1:3" x14ac:dyDescent="0.4">
      <c r="B1480">
        <v>1.9</v>
      </c>
      <c r="C1480">
        <v>2.0499999999999998</v>
      </c>
    </row>
    <row r="1481" spans="1:3" x14ac:dyDescent="0.4">
      <c r="B1481">
        <v>1.9</v>
      </c>
      <c r="C1481">
        <v>1.95</v>
      </c>
    </row>
    <row r="1482" spans="1:3" x14ac:dyDescent="0.4">
      <c r="B1482">
        <v>1.7</v>
      </c>
      <c r="C1482">
        <v>2</v>
      </c>
    </row>
    <row r="1483" spans="1:3" x14ac:dyDescent="0.4">
      <c r="B1483">
        <v>2.2999999999999998</v>
      </c>
      <c r="C1483">
        <v>2.1</v>
      </c>
    </row>
    <row r="1484" spans="1:3" x14ac:dyDescent="0.4">
      <c r="B1484">
        <v>1.8</v>
      </c>
      <c r="C1484">
        <v>1.85</v>
      </c>
    </row>
    <row r="1485" spans="1:3" x14ac:dyDescent="0.4">
      <c r="B1485">
        <v>2</v>
      </c>
      <c r="C1485">
        <v>2</v>
      </c>
    </row>
    <row r="1486" spans="1:3" x14ac:dyDescent="0.4">
      <c r="B1486">
        <v>1.6</v>
      </c>
      <c r="C1486">
        <v>1.95</v>
      </c>
    </row>
    <row r="1487" spans="1:3" x14ac:dyDescent="0.4">
      <c r="B1487">
        <v>1.8</v>
      </c>
      <c r="C1487">
        <v>1.9</v>
      </c>
    </row>
    <row r="1488" spans="1:3" x14ac:dyDescent="0.4">
      <c r="B1488">
        <v>1.95</v>
      </c>
      <c r="C1488">
        <v>1.9</v>
      </c>
    </row>
    <row r="1489" spans="1:3" x14ac:dyDescent="0.4">
      <c r="B1489">
        <v>1.7</v>
      </c>
      <c r="C1489">
        <v>1.9</v>
      </c>
    </row>
    <row r="1490" spans="1:3" x14ac:dyDescent="0.4">
      <c r="B1490">
        <v>1.4</v>
      </c>
      <c r="C1490">
        <v>1.8</v>
      </c>
    </row>
    <row r="1491" spans="1:3" x14ac:dyDescent="0.4">
      <c r="B1491">
        <v>2.2000000000000002</v>
      </c>
      <c r="C1491">
        <v>2.2000000000000002</v>
      </c>
    </row>
    <row r="1492" spans="1:3" x14ac:dyDescent="0.4">
      <c r="B1492">
        <v>2</v>
      </c>
      <c r="C1492">
        <v>1.95</v>
      </c>
    </row>
    <row r="1493" spans="1:3" x14ac:dyDescent="0.4">
      <c r="B1493">
        <v>2</v>
      </c>
      <c r="C1493">
        <v>1.9</v>
      </c>
    </row>
    <row r="1494" spans="1:3" x14ac:dyDescent="0.4">
      <c r="B1494">
        <v>1.8</v>
      </c>
      <c r="C1494">
        <v>1.8</v>
      </c>
    </row>
    <row r="1495" spans="1:3" x14ac:dyDescent="0.4">
      <c r="B1495">
        <v>2.1</v>
      </c>
      <c r="C1495">
        <v>2</v>
      </c>
    </row>
    <row r="1496" spans="1:3" x14ac:dyDescent="0.4">
      <c r="B1496">
        <v>1.8</v>
      </c>
      <c r="C1496">
        <v>1.9</v>
      </c>
    </row>
    <row r="1497" spans="1:3" x14ac:dyDescent="0.4">
      <c r="B1497">
        <v>1.5</v>
      </c>
      <c r="C1497">
        <v>1.75</v>
      </c>
    </row>
    <row r="1498" spans="1:3" x14ac:dyDescent="0.4">
      <c r="B1498">
        <f>AVERAGE(B1473:B1497)</f>
        <v>1.9059999999999999</v>
      </c>
      <c r="C1498">
        <f>AVERAGE(C1473:C1497)</f>
        <v>1.976</v>
      </c>
    </row>
    <row r="1500" spans="1:3" x14ac:dyDescent="0.4">
      <c r="A1500" t="s">
        <v>106</v>
      </c>
      <c r="B1500">
        <v>2.85</v>
      </c>
      <c r="C1500">
        <v>2.2000000000000002</v>
      </c>
    </row>
    <row r="1501" spans="1:3" x14ac:dyDescent="0.4">
      <c r="B1501">
        <v>2.85</v>
      </c>
      <c r="C1501">
        <v>1.95</v>
      </c>
    </row>
    <row r="1502" spans="1:3" x14ac:dyDescent="0.4">
      <c r="B1502">
        <v>2.8</v>
      </c>
      <c r="C1502">
        <v>2.1</v>
      </c>
    </row>
    <row r="1503" spans="1:3" x14ac:dyDescent="0.4">
      <c r="B1503">
        <v>2.95</v>
      </c>
      <c r="C1503">
        <v>2.1</v>
      </c>
    </row>
    <row r="1504" spans="1:3" x14ac:dyDescent="0.4">
      <c r="B1504">
        <v>2.25</v>
      </c>
      <c r="C1504">
        <v>2.1</v>
      </c>
    </row>
    <row r="1505" spans="1:3" x14ac:dyDescent="0.4">
      <c r="B1505">
        <v>2.7</v>
      </c>
      <c r="C1505">
        <v>2.1</v>
      </c>
    </row>
    <row r="1506" spans="1:3" x14ac:dyDescent="0.4">
      <c r="B1506">
        <v>2.8</v>
      </c>
      <c r="C1506">
        <v>2.1</v>
      </c>
    </row>
    <row r="1507" spans="1:3" x14ac:dyDescent="0.4">
      <c r="B1507">
        <v>2.5499999999999998</v>
      </c>
      <c r="C1507">
        <v>2.2000000000000002</v>
      </c>
    </row>
    <row r="1508" spans="1:3" x14ac:dyDescent="0.4">
      <c r="B1508">
        <v>3</v>
      </c>
      <c r="C1508">
        <v>2.15</v>
      </c>
    </row>
    <row r="1509" spans="1:3" x14ac:dyDescent="0.4">
      <c r="B1509">
        <v>3.35</v>
      </c>
      <c r="C1509">
        <v>2.2999999999999998</v>
      </c>
    </row>
    <row r="1510" spans="1:3" x14ac:dyDescent="0.4">
      <c r="B1510">
        <v>2.7</v>
      </c>
      <c r="C1510">
        <v>2.15</v>
      </c>
    </row>
    <row r="1511" spans="1:3" x14ac:dyDescent="0.4">
      <c r="B1511">
        <v>2.8</v>
      </c>
      <c r="C1511">
        <v>2.1</v>
      </c>
    </row>
    <row r="1512" spans="1:3" x14ac:dyDescent="0.4">
      <c r="B1512">
        <v>2.75</v>
      </c>
      <c r="C1512">
        <v>2.2000000000000002</v>
      </c>
    </row>
    <row r="1513" spans="1:3" x14ac:dyDescent="0.4">
      <c r="B1513">
        <v>2.5</v>
      </c>
      <c r="C1513">
        <v>1.7</v>
      </c>
    </row>
    <row r="1514" spans="1:3" x14ac:dyDescent="0.4">
      <c r="B1514">
        <v>2.8</v>
      </c>
      <c r="C1514">
        <v>2</v>
      </c>
    </row>
    <row r="1515" spans="1:3" x14ac:dyDescent="0.4">
      <c r="B1515">
        <v>3.25</v>
      </c>
      <c r="C1515">
        <v>2.2999999999999998</v>
      </c>
    </row>
    <row r="1516" spans="1:3" x14ac:dyDescent="0.4">
      <c r="B1516">
        <f>AVERAGE(B1500:B1515)</f>
        <v>2.8062499999999999</v>
      </c>
      <c r="C1516">
        <f>AVERAGE(C1500:C1515)</f>
        <v>2.1093749999999996</v>
      </c>
    </row>
    <row r="1518" spans="1:3" x14ac:dyDescent="0.4">
      <c r="A1518" t="s">
        <v>80</v>
      </c>
      <c r="B1518">
        <v>2.1</v>
      </c>
      <c r="C1518">
        <v>1.4</v>
      </c>
    </row>
    <row r="1519" spans="1:3" x14ac:dyDescent="0.4">
      <c r="B1519">
        <v>2.6</v>
      </c>
      <c r="C1519">
        <v>1.4</v>
      </c>
    </row>
    <row r="1520" spans="1:3" x14ac:dyDescent="0.4">
      <c r="B1520">
        <v>2</v>
      </c>
      <c r="C1520">
        <v>1.35</v>
      </c>
    </row>
    <row r="1521" spans="1:3" x14ac:dyDescent="0.4">
      <c r="B1521">
        <v>2</v>
      </c>
      <c r="C1521">
        <v>1.4</v>
      </c>
    </row>
    <row r="1522" spans="1:3" x14ac:dyDescent="0.4">
      <c r="B1522">
        <v>2.5</v>
      </c>
      <c r="C1522">
        <v>1.45</v>
      </c>
    </row>
    <row r="1523" spans="1:3" x14ac:dyDescent="0.4">
      <c r="B1523">
        <v>2.4500000000000002</v>
      </c>
      <c r="C1523">
        <v>1.3</v>
      </c>
    </row>
    <row r="1524" spans="1:3" x14ac:dyDescent="0.4">
      <c r="B1524">
        <v>2.2999999999999998</v>
      </c>
      <c r="C1524">
        <v>1.4</v>
      </c>
    </row>
    <row r="1525" spans="1:3" x14ac:dyDescent="0.4">
      <c r="B1525">
        <v>2.35</v>
      </c>
      <c r="C1525">
        <v>1.45</v>
      </c>
    </row>
    <row r="1526" spans="1:3" x14ac:dyDescent="0.4">
      <c r="B1526">
        <v>2.35</v>
      </c>
      <c r="C1526">
        <v>1.45</v>
      </c>
    </row>
    <row r="1527" spans="1:3" x14ac:dyDescent="0.4">
      <c r="B1527">
        <v>2.2999999999999998</v>
      </c>
      <c r="C1527">
        <v>1.3</v>
      </c>
    </row>
    <row r="1528" spans="1:3" x14ac:dyDescent="0.4">
      <c r="B1528">
        <v>1.9</v>
      </c>
      <c r="C1528">
        <v>1.4</v>
      </c>
    </row>
    <row r="1529" spans="1:3" x14ac:dyDescent="0.4">
      <c r="B1529">
        <v>2.8062499999999999</v>
      </c>
      <c r="C1529">
        <v>2.1093749999999996</v>
      </c>
    </row>
    <row r="1531" spans="1:3" x14ac:dyDescent="0.4">
      <c r="A1531" t="s">
        <v>96</v>
      </c>
      <c r="B1531">
        <v>2.2000000000000002</v>
      </c>
      <c r="C1531">
        <v>1.6</v>
      </c>
    </row>
    <row r="1532" spans="1:3" x14ac:dyDescent="0.4">
      <c r="B1532">
        <v>2.2000000000000002</v>
      </c>
      <c r="C1532">
        <v>1.65</v>
      </c>
    </row>
    <row r="1533" spans="1:3" x14ac:dyDescent="0.4">
      <c r="B1533">
        <v>2.0499999999999998</v>
      </c>
      <c r="C1533">
        <v>1.6</v>
      </c>
    </row>
    <row r="1534" spans="1:3" x14ac:dyDescent="0.4">
      <c r="B1534">
        <v>1.9</v>
      </c>
      <c r="C1534">
        <v>1.4</v>
      </c>
    </row>
    <row r="1535" spans="1:3" x14ac:dyDescent="0.4">
      <c r="B1535">
        <v>2.5</v>
      </c>
      <c r="C1535">
        <v>1.55</v>
      </c>
    </row>
    <row r="1536" spans="1:3" x14ac:dyDescent="0.4">
      <c r="B1536">
        <v>1.9</v>
      </c>
      <c r="C1536">
        <v>1.5</v>
      </c>
    </row>
    <row r="1537" spans="1:3" x14ac:dyDescent="0.4">
      <c r="B1537">
        <v>2.2000000000000002</v>
      </c>
      <c r="C1537">
        <v>1.5</v>
      </c>
    </row>
    <row r="1538" spans="1:3" x14ac:dyDescent="0.4">
      <c r="B1538">
        <v>2.5499999999999998</v>
      </c>
      <c r="C1538">
        <v>1.6</v>
      </c>
    </row>
    <row r="1539" spans="1:3" x14ac:dyDescent="0.4">
      <c r="B1539">
        <f>AVERAGE(B1531:B1538)</f>
        <v>2.1875</v>
      </c>
      <c r="C1539">
        <f>AVERAGE(C1531:C1538)</f>
        <v>1.55</v>
      </c>
    </row>
    <row r="1541" spans="1:3" x14ac:dyDescent="0.4">
      <c r="A1541" t="s">
        <v>122</v>
      </c>
      <c r="B1541">
        <v>2.5</v>
      </c>
      <c r="C1541">
        <v>1.95</v>
      </c>
    </row>
    <row r="1542" spans="1:3" x14ac:dyDescent="0.4">
      <c r="B1542">
        <v>2.4500000000000002</v>
      </c>
      <c r="C1542">
        <v>2.2000000000000002</v>
      </c>
    </row>
    <row r="1543" spans="1:3" x14ac:dyDescent="0.4">
      <c r="B1543">
        <v>3.15</v>
      </c>
      <c r="C1543">
        <v>2.2000000000000002</v>
      </c>
    </row>
    <row r="1544" spans="1:3" x14ac:dyDescent="0.4">
      <c r="B1544">
        <v>2.5</v>
      </c>
      <c r="C1544">
        <v>2.2000000000000002</v>
      </c>
    </row>
    <row r="1545" spans="1:3" x14ac:dyDescent="0.4">
      <c r="B1545">
        <v>2.4</v>
      </c>
      <c r="C1545">
        <v>2.2999999999999998</v>
      </c>
    </row>
    <row r="1546" spans="1:3" x14ac:dyDescent="0.4">
      <c r="B1546">
        <v>2.8</v>
      </c>
      <c r="C1546">
        <v>2</v>
      </c>
    </row>
    <row r="1547" spans="1:3" x14ac:dyDescent="0.4">
      <c r="B1547">
        <v>3</v>
      </c>
      <c r="C1547">
        <v>2</v>
      </c>
    </row>
    <row r="1548" spans="1:3" x14ac:dyDescent="0.4">
      <c r="B1548">
        <v>2.5</v>
      </c>
      <c r="C1548">
        <v>2.2999999999999998</v>
      </c>
    </row>
    <row r="1549" spans="1:3" x14ac:dyDescent="0.4">
      <c r="B1549">
        <v>2.2400000000000002</v>
      </c>
      <c r="C1549">
        <v>2.15</v>
      </c>
    </row>
    <row r="1550" spans="1:3" x14ac:dyDescent="0.4">
      <c r="B1550">
        <v>2.6</v>
      </c>
      <c r="C1550">
        <v>2.2000000000000002</v>
      </c>
    </row>
    <row r="1551" spans="1:3" x14ac:dyDescent="0.4">
      <c r="B1551">
        <f>AVERAGE(B1541:B1550)</f>
        <v>2.6139999999999999</v>
      </c>
      <c r="C1551">
        <f>AVERAGE(C1541:C1550)</f>
        <v>2.15</v>
      </c>
    </row>
    <row r="1553" spans="1:3" x14ac:dyDescent="0.4">
      <c r="A1553" t="s">
        <v>70</v>
      </c>
      <c r="B1553">
        <v>2</v>
      </c>
      <c r="C1553">
        <v>1.55</v>
      </c>
    </row>
    <row r="1554" spans="1:3" x14ac:dyDescent="0.4">
      <c r="B1554">
        <v>2</v>
      </c>
      <c r="C1554">
        <v>1.45</v>
      </c>
    </row>
    <row r="1555" spans="1:3" x14ac:dyDescent="0.4">
      <c r="B1555">
        <v>2.1</v>
      </c>
      <c r="C1555">
        <v>1.55</v>
      </c>
    </row>
    <row r="1556" spans="1:3" x14ac:dyDescent="0.4">
      <c r="B1556">
        <v>1.8</v>
      </c>
      <c r="C1556">
        <v>1.6</v>
      </c>
    </row>
    <row r="1557" spans="1:3" x14ac:dyDescent="0.4">
      <c r="B1557">
        <v>2</v>
      </c>
      <c r="C1557">
        <v>1.75</v>
      </c>
    </row>
    <row r="1558" spans="1:3" x14ac:dyDescent="0.4">
      <c r="B1558">
        <v>2</v>
      </c>
      <c r="C1558">
        <v>1.45</v>
      </c>
    </row>
    <row r="1559" spans="1:3" x14ac:dyDescent="0.4">
      <c r="B1559">
        <v>1.8</v>
      </c>
      <c r="C1559">
        <v>1.5</v>
      </c>
    </row>
    <row r="1560" spans="1:3" x14ac:dyDescent="0.4">
      <c r="B1560">
        <v>1.5</v>
      </c>
      <c r="C1560">
        <v>1.5</v>
      </c>
    </row>
    <row r="1561" spans="1:3" x14ac:dyDescent="0.4">
      <c r="B1561">
        <v>1.9</v>
      </c>
      <c r="C1561">
        <v>1.5</v>
      </c>
    </row>
    <row r="1562" spans="1:3" x14ac:dyDescent="0.4">
      <c r="B1562">
        <v>1.75</v>
      </c>
      <c r="C1562">
        <v>1.55</v>
      </c>
    </row>
    <row r="1563" spans="1:3" x14ac:dyDescent="0.4">
      <c r="B1563">
        <v>1.9</v>
      </c>
      <c r="C1563">
        <v>1.6</v>
      </c>
    </row>
    <row r="1564" spans="1:3" x14ac:dyDescent="0.4">
      <c r="B1564">
        <v>2.15</v>
      </c>
      <c r="C1564">
        <v>1.7</v>
      </c>
    </row>
    <row r="1565" spans="1:3" x14ac:dyDescent="0.4">
      <c r="B1565">
        <v>2.1</v>
      </c>
      <c r="C1565">
        <v>1.55</v>
      </c>
    </row>
    <row r="1566" spans="1:3" x14ac:dyDescent="0.4">
      <c r="B1566">
        <v>2.1</v>
      </c>
      <c r="C1566">
        <v>1.5</v>
      </c>
    </row>
    <row r="1567" spans="1:3" x14ac:dyDescent="0.4">
      <c r="B1567">
        <v>1.85</v>
      </c>
      <c r="C1567">
        <v>1.55</v>
      </c>
    </row>
    <row r="1568" spans="1:3" x14ac:dyDescent="0.4">
      <c r="B1568">
        <v>1.9</v>
      </c>
      <c r="C1568">
        <v>1.5</v>
      </c>
    </row>
    <row r="1569" spans="1:3" x14ac:dyDescent="0.4">
      <c r="B1569">
        <v>1.7</v>
      </c>
      <c r="C1569">
        <v>1.5</v>
      </c>
    </row>
    <row r="1570" spans="1:3" x14ac:dyDescent="0.4">
      <c r="B1570">
        <v>1.55</v>
      </c>
      <c r="C1570">
        <v>1.6</v>
      </c>
    </row>
    <row r="1571" spans="1:3" x14ac:dyDescent="0.4">
      <c r="B1571">
        <v>2.0499999999999998</v>
      </c>
      <c r="C1571">
        <v>1.6</v>
      </c>
    </row>
    <row r="1572" spans="1:3" x14ac:dyDescent="0.4">
      <c r="B1572">
        <v>1.8</v>
      </c>
      <c r="C1572">
        <v>1.4</v>
      </c>
    </row>
    <row r="1573" spans="1:3" x14ac:dyDescent="0.4">
      <c r="B1573">
        <v>1.8</v>
      </c>
      <c r="C1573">
        <v>1.7</v>
      </c>
    </row>
    <row r="1574" spans="1:3" x14ac:dyDescent="0.4">
      <c r="B1574">
        <f>AVERAGE(B1553:B1573)</f>
        <v>1.8928571428571421</v>
      </c>
      <c r="C1574">
        <f>AVERAGE(C1553:C1573)</f>
        <v>1.5523809523809524</v>
      </c>
    </row>
    <row r="1576" spans="1:3" x14ac:dyDescent="0.4">
      <c r="A1576" t="s">
        <v>81</v>
      </c>
      <c r="B1576">
        <v>1.7</v>
      </c>
      <c r="C1576">
        <v>1.6</v>
      </c>
    </row>
    <row r="1577" spans="1:3" x14ac:dyDescent="0.4">
      <c r="B1577">
        <v>2.0499999999999998</v>
      </c>
      <c r="C1577">
        <v>1.55</v>
      </c>
    </row>
    <row r="1578" spans="1:3" x14ac:dyDescent="0.4">
      <c r="B1578">
        <v>1.95</v>
      </c>
      <c r="C1578">
        <v>1.7</v>
      </c>
    </row>
    <row r="1579" spans="1:3" x14ac:dyDescent="0.4">
      <c r="B1579">
        <v>1.85</v>
      </c>
      <c r="C1579">
        <v>1.55</v>
      </c>
    </row>
    <row r="1580" spans="1:3" x14ac:dyDescent="0.4">
      <c r="B1580">
        <v>1.85</v>
      </c>
      <c r="C1580">
        <v>1.7</v>
      </c>
    </row>
    <row r="1581" spans="1:3" x14ac:dyDescent="0.4">
      <c r="B1581">
        <v>2.15</v>
      </c>
      <c r="C1581">
        <v>1.5</v>
      </c>
    </row>
    <row r="1582" spans="1:3" x14ac:dyDescent="0.4">
      <c r="B1582">
        <v>1.8</v>
      </c>
      <c r="C1582">
        <v>1.7</v>
      </c>
    </row>
    <row r="1583" spans="1:3" x14ac:dyDescent="0.4">
      <c r="B1583">
        <v>2.0499999999999998</v>
      </c>
      <c r="C1583">
        <v>1.5</v>
      </c>
    </row>
    <row r="1584" spans="1:3" x14ac:dyDescent="0.4">
      <c r="B1584">
        <v>1.95</v>
      </c>
      <c r="C1584">
        <v>1.45</v>
      </c>
    </row>
    <row r="1585" spans="1:3" x14ac:dyDescent="0.4">
      <c r="B1585">
        <v>2.5</v>
      </c>
      <c r="C1585">
        <v>1.7</v>
      </c>
    </row>
    <row r="1586" spans="1:3" x14ac:dyDescent="0.4">
      <c r="B1586">
        <v>1.6</v>
      </c>
      <c r="C1586">
        <v>1.55</v>
      </c>
    </row>
    <row r="1587" spans="1:3" x14ac:dyDescent="0.4">
      <c r="B1587">
        <f>AVERAGE(B1576:B1586)</f>
        <v>1.9500000000000002</v>
      </c>
      <c r="C1587">
        <f>AVERAGE(C1576:C1586)</f>
        <v>1.5909090909090906</v>
      </c>
    </row>
    <row r="1589" spans="1:3" x14ac:dyDescent="0.4">
      <c r="A1589" t="s">
        <v>108</v>
      </c>
      <c r="B1589">
        <v>2.2000000000000002</v>
      </c>
      <c r="C1589">
        <v>1.85</v>
      </c>
    </row>
    <row r="1590" spans="1:3" x14ac:dyDescent="0.4">
      <c r="B1590">
        <v>2</v>
      </c>
      <c r="C1590">
        <v>1.7</v>
      </c>
    </row>
    <row r="1591" spans="1:3" x14ac:dyDescent="0.4">
      <c r="B1591">
        <v>2.1</v>
      </c>
      <c r="C1591">
        <v>1.7</v>
      </c>
    </row>
    <row r="1592" spans="1:3" x14ac:dyDescent="0.4">
      <c r="B1592">
        <v>1.8</v>
      </c>
      <c r="C1592">
        <v>1.95</v>
      </c>
    </row>
    <row r="1593" spans="1:3" x14ac:dyDescent="0.4">
      <c r="B1593">
        <v>2.15</v>
      </c>
      <c r="C1593">
        <v>1.55</v>
      </c>
    </row>
    <row r="1594" spans="1:3" x14ac:dyDescent="0.4">
      <c r="B1594">
        <v>1.95</v>
      </c>
      <c r="C1594">
        <v>1.9</v>
      </c>
    </row>
    <row r="1595" spans="1:3" x14ac:dyDescent="0.4">
      <c r="B1595">
        <v>2.1</v>
      </c>
      <c r="C1595">
        <v>1.6</v>
      </c>
    </row>
    <row r="1596" spans="1:3" x14ac:dyDescent="0.4">
      <c r="B1596">
        <f>AVERAGE(B1589:B1595)</f>
        <v>2.0428571428571431</v>
      </c>
      <c r="C1596">
        <f>AVERAGE(C1589:C1595)</f>
        <v>1.75</v>
      </c>
    </row>
    <row r="1598" spans="1:3" x14ac:dyDescent="0.4">
      <c r="A1598" t="s">
        <v>74</v>
      </c>
      <c r="B1598">
        <v>2.15</v>
      </c>
      <c r="C1598">
        <v>2.25</v>
      </c>
    </row>
    <row r="1599" spans="1:3" x14ac:dyDescent="0.4">
      <c r="B1599">
        <v>2.6</v>
      </c>
      <c r="C1599">
        <v>2.2999999999999998</v>
      </c>
    </row>
    <row r="1600" spans="1:3" x14ac:dyDescent="0.4">
      <c r="B1600">
        <v>2.5</v>
      </c>
      <c r="C1600">
        <v>2.2000000000000002</v>
      </c>
    </row>
    <row r="1601" spans="1:3" x14ac:dyDescent="0.4">
      <c r="B1601">
        <v>2.15</v>
      </c>
      <c r="C1601">
        <v>1.95</v>
      </c>
    </row>
    <row r="1602" spans="1:3" x14ac:dyDescent="0.4">
      <c r="B1602">
        <v>1.75</v>
      </c>
      <c r="C1602">
        <v>1.7</v>
      </c>
    </row>
    <row r="1603" spans="1:3" x14ac:dyDescent="0.4">
      <c r="B1603">
        <v>2.15</v>
      </c>
      <c r="C1603">
        <v>2.2000000000000002</v>
      </c>
    </row>
    <row r="1604" spans="1:3" x14ac:dyDescent="0.4">
      <c r="B1604">
        <f>AVERAGE(B1598:B1603)</f>
        <v>2.2166666666666668</v>
      </c>
      <c r="C1604">
        <f>AVERAGE(C1598:C1603)</f>
        <v>2.0999999999999996</v>
      </c>
    </row>
    <row r="1606" spans="1:3" x14ac:dyDescent="0.4">
      <c r="A1606" t="s">
        <v>91</v>
      </c>
      <c r="B1606">
        <v>2.2000000000000002</v>
      </c>
      <c r="C1606">
        <v>2.15</v>
      </c>
    </row>
    <row r="1607" spans="1:3" x14ac:dyDescent="0.4">
      <c r="B1607">
        <v>1.8</v>
      </c>
      <c r="C1607">
        <v>1.85</v>
      </c>
    </row>
    <row r="1608" spans="1:3" x14ac:dyDescent="0.4">
      <c r="B1608">
        <v>1.4</v>
      </c>
      <c r="C1608">
        <v>1.6</v>
      </c>
    </row>
    <row r="1609" spans="1:3" x14ac:dyDescent="0.4">
      <c r="B1609">
        <v>2.9</v>
      </c>
      <c r="C1609">
        <v>2.0499999999999998</v>
      </c>
    </row>
    <row r="1610" spans="1:3" x14ac:dyDescent="0.4">
      <c r="B1610">
        <v>2.65</v>
      </c>
      <c r="C1610">
        <v>2.15</v>
      </c>
    </row>
    <row r="1611" spans="1:3" x14ac:dyDescent="0.4">
      <c r="B1611">
        <v>2.0499999999999998</v>
      </c>
      <c r="C1611">
        <v>1.8</v>
      </c>
    </row>
    <row r="1612" spans="1:3" x14ac:dyDescent="0.4">
      <c r="B1612">
        <v>2.2000000000000002</v>
      </c>
      <c r="C1612">
        <v>1.95</v>
      </c>
    </row>
    <row r="1613" spans="1:3" x14ac:dyDescent="0.4">
      <c r="B1613">
        <v>2.35</v>
      </c>
      <c r="C1613">
        <v>2.1</v>
      </c>
    </row>
    <row r="1614" spans="1:3" x14ac:dyDescent="0.4">
      <c r="B1614">
        <f>AVERAGE(B1606:B1613)</f>
        <v>2.1937500000000001</v>
      </c>
      <c r="C1614">
        <f>AVERAGE(C1606:C1613)</f>
        <v>1.9562499999999998</v>
      </c>
    </row>
    <row r="1616" spans="1:3" x14ac:dyDescent="0.4">
      <c r="A1616" t="s">
        <v>85</v>
      </c>
      <c r="B1616">
        <v>1.9</v>
      </c>
      <c r="C1616">
        <v>1.4</v>
      </c>
    </row>
    <row r="1617" spans="1:3" x14ac:dyDescent="0.4">
      <c r="B1617">
        <v>2.2000000000000002</v>
      </c>
      <c r="C1617">
        <v>1.3</v>
      </c>
    </row>
    <row r="1618" spans="1:3" x14ac:dyDescent="0.4">
      <c r="B1618">
        <v>2.4</v>
      </c>
      <c r="C1618">
        <v>1.45</v>
      </c>
    </row>
    <row r="1619" spans="1:3" x14ac:dyDescent="0.4">
      <c r="B1619">
        <v>2.0499999999999998</v>
      </c>
      <c r="C1619">
        <v>1.45</v>
      </c>
    </row>
    <row r="1620" spans="1:3" x14ac:dyDescent="0.4">
      <c r="B1620">
        <v>1.45</v>
      </c>
      <c r="C1620">
        <v>1.35</v>
      </c>
    </row>
    <row r="1621" spans="1:3" x14ac:dyDescent="0.4">
      <c r="B1621">
        <v>1.95</v>
      </c>
      <c r="C1621">
        <v>1.35</v>
      </c>
    </row>
    <row r="1622" spans="1:3" x14ac:dyDescent="0.4">
      <c r="B1622">
        <v>2.2999999999999998</v>
      </c>
      <c r="C1622">
        <v>1.4</v>
      </c>
    </row>
    <row r="1623" spans="1:3" x14ac:dyDescent="0.4">
      <c r="B1623">
        <v>1.8</v>
      </c>
      <c r="C1623">
        <v>1.35</v>
      </c>
    </row>
    <row r="1624" spans="1:3" x14ac:dyDescent="0.4">
      <c r="B1624">
        <v>2.15</v>
      </c>
      <c r="C1624">
        <v>1.35</v>
      </c>
    </row>
    <row r="1625" spans="1:3" x14ac:dyDescent="0.4">
      <c r="B1625">
        <v>2.35</v>
      </c>
      <c r="C1625">
        <v>1.4</v>
      </c>
    </row>
    <row r="1626" spans="1:3" x14ac:dyDescent="0.4">
      <c r="B1626">
        <v>2.1</v>
      </c>
      <c r="C1626">
        <v>1.35</v>
      </c>
    </row>
    <row r="1627" spans="1:3" x14ac:dyDescent="0.4">
      <c r="B1627">
        <v>2.6</v>
      </c>
      <c r="C1627">
        <v>1.5</v>
      </c>
    </row>
    <row r="1628" spans="1:3" x14ac:dyDescent="0.4">
      <c r="B1628">
        <v>2.15</v>
      </c>
      <c r="C1628">
        <v>1.5</v>
      </c>
    </row>
    <row r="1629" spans="1:3" x14ac:dyDescent="0.4">
      <c r="B1629">
        <v>1.95</v>
      </c>
      <c r="C1629">
        <v>1.2</v>
      </c>
    </row>
    <row r="1630" spans="1:3" x14ac:dyDescent="0.4">
      <c r="B1630">
        <f>AVERAGE(B1616:B1629)</f>
        <v>2.0964285714285715</v>
      </c>
      <c r="C1630">
        <f>AVERAGE(C1616:C1629)</f>
        <v>1.3821428571428569</v>
      </c>
    </row>
    <row r="1632" spans="1:3" x14ac:dyDescent="0.4">
      <c r="A1632" t="s">
        <v>114</v>
      </c>
      <c r="B1632">
        <v>1.3</v>
      </c>
      <c r="C1632">
        <v>1.3</v>
      </c>
    </row>
    <row r="1633" spans="2:3" x14ac:dyDescent="0.4">
      <c r="B1633">
        <v>1.85</v>
      </c>
      <c r="C1633">
        <v>1.7</v>
      </c>
    </row>
    <row r="1634" spans="2:3" x14ac:dyDescent="0.4">
      <c r="B1634">
        <v>1.5</v>
      </c>
      <c r="C1634">
        <v>1.25</v>
      </c>
    </row>
    <row r="1635" spans="2:3" x14ac:dyDescent="0.4">
      <c r="B1635">
        <v>1.9</v>
      </c>
      <c r="C1635">
        <v>1.55</v>
      </c>
    </row>
    <row r="1636" spans="2:3" x14ac:dyDescent="0.4">
      <c r="B1636">
        <v>1.5</v>
      </c>
      <c r="C1636">
        <v>1.55</v>
      </c>
    </row>
    <row r="1637" spans="2:3" x14ac:dyDescent="0.4">
      <c r="B1637">
        <v>1.85</v>
      </c>
      <c r="C1637">
        <v>1.45</v>
      </c>
    </row>
    <row r="1638" spans="2:3" x14ac:dyDescent="0.4">
      <c r="B1638">
        <v>1.75</v>
      </c>
      <c r="C1638">
        <v>1.55</v>
      </c>
    </row>
    <row r="1639" spans="2:3" x14ac:dyDescent="0.4">
      <c r="B1639">
        <v>1.5</v>
      </c>
      <c r="C1639">
        <v>1.5</v>
      </c>
    </row>
    <row r="1640" spans="2:3" x14ac:dyDescent="0.4">
      <c r="B1640">
        <v>1.65</v>
      </c>
      <c r="C1640">
        <v>1.5</v>
      </c>
    </row>
    <row r="1641" spans="2:3" x14ac:dyDescent="0.4">
      <c r="B1641">
        <v>1.6</v>
      </c>
      <c r="C1641">
        <v>1.55</v>
      </c>
    </row>
    <row r="1642" spans="2:3" x14ac:dyDescent="0.4">
      <c r="B1642">
        <v>1.95</v>
      </c>
      <c r="C1642">
        <v>1.75</v>
      </c>
    </row>
    <row r="1643" spans="2:3" x14ac:dyDescent="0.4">
      <c r="B1643">
        <v>1.55</v>
      </c>
      <c r="C1643">
        <v>1.6</v>
      </c>
    </row>
    <row r="1644" spans="2:3" x14ac:dyDescent="0.4">
      <c r="B1644">
        <v>1.7</v>
      </c>
      <c r="C1644">
        <v>1.65</v>
      </c>
    </row>
    <row r="1645" spans="2:3" x14ac:dyDescent="0.4">
      <c r="B1645">
        <v>1.6</v>
      </c>
      <c r="C1645">
        <v>1.55</v>
      </c>
    </row>
    <row r="1646" spans="2:3" x14ac:dyDescent="0.4">
      <c r="B1646">
        <v>2.15</v>
      </c>
      <c r="C1646">
        <v>1.75</v>
      </c>
    </row>
    <row r="1647" spans="2:3" x14ac:dyDescent="0.4">
      <c r="B1647">
        <v>1.7</v>
      </c>
      <c r="C1647">
        <v>1.4</v>
      </c>
    </row>
    <row r="1648" spans="2:3" x14ac:dyDescent="0.4">
      <c r="B1648">
        <v>1.1499999999999999</v>
      </c>
      <c r="C1648">
        <v>1.25</v>
      </c>
    </row>
    <row r="1649" spans="2:3" x14ac:dyDescent="0.4">
      <c r="B1649">
        <v>1.9</v>
      </c>
      <c r="C1649">
        <v>1.6</v>
      </c>
    </row>
    <row r="1650" spans="2:3" x14ac:dyDescent="0.4">
      <c r="B1650">
        <v>1.95</v>
      </c>
      <c r="C1650">
        <v>1.55</v>
      </c>
    </row>
    <row r="1651" spans="2:3" x14ac:dyDescent="0.4">
      <c r="B1651">
        <v>1.45</v>
      </c>
      <c r="C1651">
        <v>1.4</v>
      </c>
    </row>
    <row r="1652" spans="2:3" x14ac:dyDescent="0.4">
      <c r="B1652">
        <v>1.5</v>
      </c>
      <c r="C1652">
        <v>1.55</v>
      </c>
    </row>
    <row r="1653" spans="2:3" x14ac:dyDescent="0.4">
      <c r="B1653">
        <v>1.7</v>
      </c>
      <c r="C1653">
        <v>1.55</v>
      </c>
    </row>
    <row r="1654" spans="2:3" x14ac:dyDescent="0.4">
      <c r="B1654">
        <v>1.1000000000000001</v>
      </c>
      <c r="C1654">
        <v>1.2</v>
      </c>
    </row>
    <row r="1655" spans="2:3" x14ac:dyDescent="0.4">
      <c r="B1655">
        <v>1.85</v>
      </c>
      <c r="C1655">
        <v>1.6</v>
      </c>
    </row>
    <row r="1656" spans="2:3" x14ac:dyDescent="0.4">
      <c r="B1656">
        <v>1.1000000000000001</v>
      </c>
      <c r="C1656">
        <v>1.5</v>
      </c>
    </row>
    <row r="1657" spans="2:3" x14ac:dyDescent="0.4">
      <c r="B1657">
        <v>1.9</v>
      </c>
      <c r="C1657">
        <v>1.55</v>
      </c>
    </row>
    <row r="1658" spans="2:3" x14ac:dyDescent="0.4">
      <c r="B1658">
        <v>1.7</v>
      </c>
      <c r="C1658">
        <v>1.6</v>
      </c>
    </row>
    <row r="1659" spans="2:3" x14ac:dyDescent="0.4">
      <c r="B1659">
        <v>1.7</v>
      </c>
      <c r="C1659">
        <v>1.5</v>
      </c>
    </row>
    <row r="1660" spans="2:3" x14ac:dyDescent="0.4">
      <c r="B1660">
        <v>1.7</v>
      </c>
      <c r="C1660">
        <v>1.5</v>
      </c>
    </row>
    <row r="1661" spans="2:3" x14ac:dyDescent="0.4">
      <c r="B1661">
        <v>1.25</v>
      </c>
      <c r="C1661">
        <v>1.25</v>
      </c>
    </row>
    <row r="1662" spans="2:3" x14ac:dyDescent="0.4">
      <c r="B1662">
        <v>1.2</v>
      </c>
      <c r="C1662">
        <v>1.3</v>
      </c>
    </row>
    <row r="1663" spans="2:3" x14ac:dyDescent="0.4">
      <c r="B1663">
        <v>1.5</v>
      </c>
      <c r="C1663">
        <v>1.4</v>
      </c>
    </row>
    <row r="1664" spans="2:3" x14ac:dyDescent="0.4">
      <c r="B1664">
        <v>1.6</v>
      </c>
      <c r="C1664">
        <v>1.5</v>
      </c>
    </row>
    <row r="1665" spans="1:3" x14ac:dyDescent="0.4">
      <c r="B1665">
        <v>1.3</v>
      </c>
      <c r="C1665">
        <v>1.2</v>
      </c>
    </row>
    <row r="1666" spans="1:3" x14ac:dyDescent="0.4">
      <c r="B1666">
        <v>1.3</v>
      </c>
      <c r="C1666">
        <v>1.45</v>
      </c>
    </row>
    <row r="1667" spans="1:3" x14ac:dyDescent="0.4">
      <c r="B1667">
        <f>AVERAGE(B1632:B1666)</f>
        <v>1.5971428571428574</v>
      </c>
      <c r="C1667">
        <f>AVERAGE(C1632:C1666)</f>
        <v>1.4871428571428573</v>
      </c>
    </row>
    <row r="1669" spans="1:3" x14ac:dyDescent="0.4">
      <c r="A1669" t="s">
        <v>87</v>
      </c>
      <c r="B1669">
        <v>2.25</v>
      </c>
      <c r="C1669">
        <v>1.85</v>
      </c>
    </row>
    <row r="1670" spans="1:3" x14ac:dyDescent="0.4">
      <c r="B1670">
        <v>2.75</v>
      </c>
      <c r="C1670">
        <v>1.6</v>
      </c>
    </row>
    <row r="1671" spans="1:3" x14ac:dyDescent="0.4">
      <c r="B1671">
        <v>2.7</v>
      </c>
      <c r="C1671">
        <v>1.7</v>
      </c>
    </row>
    <row r="1672" spans="1:3" x14ac:dyDescent="0.4">
      <c r="B1672">
        <v>2.7</v>
      </c>
      <c r="C1672">
        <v>1.7</v>
      </c>
    </row>
    <row r="1673" spans="1:3" x14ac:dyDescent="0.4">
      <c r="B1673">
        <v>3.25</v>
      </c>
      <c r="C1673">
        <v>1.75</v>
      </c>
    </row>
    <row r="1674" spans="1:3" x14ac:dyDescent="0.4">
      <c r="B1674">
        <v>3.1</v>
      </c>
      <c r="C1674">
        <v>1.85</v>
      </c>
    </row>
    <row r="1675" spans="1:3" x14ac:dyDescent="0.4">
      <c r="B1675">
        <v>1.6</v>
      </c>
      <c r="C1675">
        <v>1.75</v>
      </c>
    </row>
    <row r="1676" spans="1:3" x14ac:dyDescent="0.4">
      <c r="B1676">
        <v>2.15</v>
      </c>
      <c r="C1676">
        <v>1.6</v>
      </c>
    </row>
    <row r="1677" spans="1:3" x14ac:dyDescent="0.4">
      <c r="B1677">
        <v>2.2000000000000002</v>
      </c>
      <c r="C1677">
        <v>1.6</v>
      </c>
    </row>
    <row r="1678" spans="1:3" x14ac:dyDescent="0.4">
      <c r="B1678">
        <v>2.4</v>
      </c>
      <c r="C1678">
        <v>1.65</v>
      </c>
    </row>
    <row r="1679" spans="1:3" x14ac:dyDescent="0.4">
      <c r="B1679">
        <v>2.4</v>
      </c>
      <c r="C1679">
        <v>1.55</v>
      </c>
    </row>
    <row r="1680" spans="1:3" x14ac:dyDescent="0.4">
      <c r="B1680">
        <f>AVERAGE(B1669:B1679)</f>
        <v>2.4999999999999996</v>
      </c>
      <c r="C1680">
        <f>AVERAGE(C1669:C1679)</f>
        <v>1.6909090909090911</v>
      </c>
    </row>
    <row r="1682" spans="1:3" x14ac:dyDescent="0.4">
      <c r="A1682" t="s">
        <v>88</v>
      </c>
      <c r="B1682">
        <v>2.1</v>
      </c>
      <c r="C1682">
        <v>1.6</v>
      </c>
    </row>
    <row r="1683" spans="1:3" x14ac:dyDescent="0.4">
      <c r="B1683">
        <v>2.1</v>
      </c>
      <c r="C1683">
        <v>1.6</v>
      </c>
    </row>
    <row r="1684" spans="1:3" x14ac:dyDescent="0.4">
      <c r="B1684">
        <v>1.9</v>
      </c>
      <c r="C1684">
        <v>1.6</v>
      </c>
    </row>
    <row r="1685" spans="1:3" x14ac:dyDescent="0.4">
      <c r="B1685">
        <v>1.95</v>
      </c>
      <c r="C1685">
        <v>1.6</v>
      </c>
    </row>
    <row r="1686" spans="1:3" x14ac:dyDescent="0.4">
      <c r="B1686">
        <v>2.0499999999999998</v>
      </c>
      <c r="C1686">
        <v>1.6</v>
      </c>
    </row>
    <row r="1687" spans="1:3" x14ac:dyDescent="0.4">
      <c r="B1687">
        <v>1.95</v>
      </c>
      <c r="C1687">
        <v>1.5</v>
      </c>
    </row>
    <row r="1688" spans="1:3" x14ac:dyDescent="0.4">
      <c r="B1688">
        <v>2.0499999999999998</v>
      </c>
      <c r="C1688">
        <v>1.7</v>
      </c>
    </row>
    <row r="1689" spans="1:3" x14ac:dyDescent="0.4">
      <c r="B1689">
        <v>1.75</v>
      </c>
      <c r="C1689">
        <v>1.5</v>
      </c>
    </row>
    <row r="1690" spans="1:3" x14ac:dyDescent="0.4">
      <c r="B1690">
        <v>1.95</v>
      </c>
      <c r="C1690">
        <v>1.55</v>
      </c>
    </row>
    <row r="1691" spans="1:3" x14ac:dyDescent="0.4">
      <c r="B1691">
        <v>1.8</v>
      </c>
      <c r="C1691">
        <v>1.7</v>
      </c>
    </row>
    <row r="1692" spans="1:3" x14ac:dyDescent="0.4">
      <c r="B1692">
        <v>1.8</v>
      </c>
      <c r="C1692">
        <v>1.6</v>
      </c>
    </row>
    <row r="1693" spans="1:3" x14ac:dyDescent="0.4">
      <c r="B1693">
        <v>2</v>
      </c>
      <c r="C1693">
        <v>1.6</v>
      </c>
    </row>
    <row r="1694" spans="1:3" x14ac:dyDescent="0.4">
      <c r="B1694">
        <v>1.95</v>
      </c>
      <c r="C1694">
        <v>1.5</v>
      </c>
    </row>
    <row r="1695" spans="1:3" x14ac:dyDescent="0.4">
      <c r="B1695">
        <v>1.9</v>
      </c>
      <c r="C1695">
        <v>1.55</v>
      </c>
    </row>
    <row r="1696" spans="1:3" x14ac:dyDescent="0.4">
      <c r="B1696">
        <v>1.75</v>
      </c>
      <c r="C1696">
        <v>1.55</v>
      </c>
    </row>
    <row r="1697" spans="1:3" x14ac:dyDescent="0.4">
      <c r="B1697">
        <v>2.1</v>
      </c>
      <c r="C1697">
        <v>1.55</v>
      </c>
    </row>
    <row r="1698" spans="1:3" x14ac:dyDescent="0.4">
      <c r="B1698">
        <v>2.1</v>
      </c>
      <c r="C1698">
        <v>1.6</v>
      </c>
    </row>
    <row r="1699" spans="1:3" x14ac:dyDescent="0.4">
      <c r="B1699">
        <v>1.9</v>
      </c>
      <c r="C1699">
        <v>1.55</v>
      </c>
    </row>
    <row r="1700" spans="1:3" x14ac:dyDescent="0.4">
      <c r="B1700">
        <v>2.0499999999999998</v>
      </c>
      <c r="C1700">
        <v>1.5</v>
      </c>
    </row>
    <row r="1701" spans="1:3" x14ac:dyDescent="0.4">
      <c r="B1701">
        <v>2</v>
      </c>
      <c r="C1701">
        <v>1.6</v>
      </c>
    </row>
    <row r="1702" spans="1:3" x14ac:dyDescent="0.4">
      <c r="B1702">
        <v>1.9</v>
      </c>
      <c r="C1702">
        <v>1.5</v>
      </c>
    </row>
    <row r="1703" spans="1:3" x14ac:dyDescent="0.4">
      <c r="B1703">
        <v>2.15</v>
      </c>
      <c r="C1703">
        <v>1.55</v>
      </c>
    </row>
    <row r="1704" spans="1:3" x14ac:dyDescent="0.4">
      <c r="B1704">
        <f>AVERAGE(B1682:B1703)</f>
        <v>1.9636363636363632</v>
      </c>
      <c r="C1704">
        <f>AVERAGE(C1682:C1703)</f>
        <v>1.5727272727272732</v>
      </c>
    </row>
    <row r="1706" spans="1:3" x14ac:dyDescent="0.4">
      <c r="A1706" t="s">
        <v>102</v>
      </c>
      <c r="B1706">
        <v>1.55</v>
      </c>
      <c r="C1706">
        <v>1.85</v>
      </c>
    </row>
    <row r="1707" spans="1:3" x14ac:dyDescent="0.4">
      <c r="B1707">
        <v>1.7</v>
      </c>
      <c r="C1707">
        <v>1.9</v>
      </c>
    </row>
    <row r="1708" spans="1:3" x14ac:dyDescent="0.4">
      <c r="B1708">
        <v>1.2</v>
      </c>
      <c r="C1708">
        <v>1.5</v>
      </c>
    </row>
    <row r="1709" spans="1:3" x14ac:dyDescent="0.4">
      <c r="B1709">
        <v>2.0499999999999998</v>
      </c>
      <c r="C1709">
        <v>2.0499999999999998</v>
      </c>
    </row>
    <row r="1710" spans="1:3" x14ac:dyDescent="0.4">
      <c r="B1710">
        <v>1.55</v>
      </c>
      <c r="C1710">
        <v>1.75</v>
      </c>
    </row>
    <row r="1711" spans="1:3" x14ac:dyDescent="0.4">
      <c r="B1711">
        <v>1.3</v>
      </c>
      <c r="C1711">
        <v>1.65</v>
      </c>
    </row>
    <row r="1712" spans="1:3" x14ac:dyDescent="0.4">
      <c r="B1712">
        <v>2</v>
      </c>
      <c r="C1712">
        <v>1.95</v>
      </c>
    </row>
    <row r="1713" spans="1:3" x14ac:dyDescent="0.4">
      <c r="B1713">
        <v>1.9</v>
      </c>
      <c r="C1713">
        <v>2.1</v>
      </c>
    </row>
    <row r="1714" spans="1:3" x14ac:dyDescent="0.4">
      <c r="B1714">
        <v>1.8</v>
      </c>
      <c r="C1714">
        <v>2.1</v>
      </c>
    </row>
    <row r="1715" spans="1:3" x14ac:dyDescent="0.4">
      <c r="B1715">
        <f>AVERAGE(B1706:B1714)</f>
        <v>1.6722222222222225</v>
      </c>
      <c r="C1715">
        <f>AVERAGE(C1706:C1714)</f>
        <v>1.8722222222222225</v>
      </c>
    </row>
    <row r="1717" spans="1:3" x14ac:dyDescent="0.4">
      <c r="A1717" t="s">
        <v>84</v>
      </c>
      <c r="B1717">
        <v>1.8</v>
      </c>
      <c r="C1717">
        <v>1.45</v>
      </c>
    </row>
    <row r="1718" spans="1:3" x14ac:dyDescent="0.4">
      <c r="B1718">
        <v>1.75</v>
      </c>
      <c r="C1718">
        <v>1.4</v>
      </c>
    </row>
    <row r="1719" spans="1:3" x14ac:dyDescent="0.4">
      <c r="B1719">
        <v>1.7</v>
      </c>
      <c r="C1719">
        <v>1.45</v>
      </c>
    </row>
    <row r="1720" spans="1:3" x14ac:dyDescent="0.4">
      <c r="B1720">
        <v>1.25</v>
      </c>
      <c r="C1720">
        <v>1.45</v>
      </c>
    </row>
    <row r="1721" spans="1:3" x14ac:dyDescent="0.4">
      <c r="B1721">
        <v>1.6</v>
      </c>
      <c r="C1721">
        <v>1.4</v>
      </c>
    </row>
    <row r="1722" spans="1:3" x14ac:dyDescent="0.4">
      <c r="B1722">
        <v>1.4</v>
      </c>
      <c r="C1722">
        <v>1.45</v>
      </c>
    </row>
    <row r="1723" spans="1:3" x14ac:dyDescent="0.4">
      <c r="B1723">
        <v>2.0499999999999998</v>
      </c>
      <c r="C1723">
        <v>1.45</v>
      </c>
    </row>
    <row r="1724" spans="1:3" x14ac:dyDescent="0.4">
      <c r="B1724">
        <v>1.75</v>
      </c>
      <c r="C1724">
        <v>1.5</v>
      </c>
    </row>
    <row r="1725" spans="1:3" x14ac:dyDescent="0.4">
      <c r="B1725">
        <v>1.4</v>
      </c>
      <c r="C1725">
        <v>1.4</v>
      </c>
    </row>
    <row r="1726" spans="1:3" x14ac:dyDescent="0.4">
      <c r="B1726">
        <v>1.9</v>
      </c>
      <c r="C1726">
        <v>1.5</v>
      </c>
    </row>
    <row r="1727" spans="1:3" x14ac:dyDescent="0.4">
      <c r="B1727">
        <v>1.8</v>
      </c>
      <c r="C1727">
        <v>1.5</v>
      </c>
    </row>
    <row r="1728" spans="1:3" x14ac:dyDescent="0.4">
      <c r="B1728">
        <v>1.8</v>
      </c>
      <c r="C1728">
        <v>1.5</v>
      </c>
    </row>
    <row r="1729" spans="1:3" x14ac:dyDescent="0.4">
      <c r="B1729">
        <v>1.4</v>
      </c>
      <c r="C1729">
        <v>1.3</v>
      </c>
    </row>
    <row r="1730" spans="1:3" x14ac:dyDescent="0.4">
      <c r="B1730">
        <v>1.7</v>
      </c>
      <c r="C1730">
        <v>1.5</v>
      </c>
    </row>
    <row r="1731" spans="1:3" x14ac:dyDescent="0.4">
      <c r="B1731">
        <v>1.6</v>
      </c>
      <c r="C1731">
        <v>1.45</v>
      </c>
    </row>
    <row r="1732" spans="1:3" x14ac:dyDescent="0.4">
      <c r="B1732">
        <v>1.7</v>
      </c>
      <c r="C1732">
        <v>1.45</v>
      </c>
    </row>
    <row r="1733" spans="1:3" x14ac:dyDescent="0.4">
      <c r="B1733">
        <v>1.8</v>
      </c>
      <c r="C1733">
        <v>1.45</v>
      </c>
    </row>
    <row r="1734" spans="1:3" x14ac:dyDescent="0.4">
      <c r="B1734">
        <v>1.9</v>
      </c>
      <c r="C1734">
        <v>1.6</v>
      </c>
    </row>
    <row r="1735" spans="1:3" x14ac:dyDescent="0.4">
      <c r="B1735">
        <v>2</v>
      </c>
      <c r="C1735">
        <v>1.45</v>
      </c>
    </row>
    <row r="1736" spans="1:3" x14ac:dyDescent="0.4">
      <c r="B1736">
        <v>2.2000000000000002</v>
      </c>
      <c r="C1736">
        <v>1.55</v>
      </c>
    </row>
    <row r="1737" spans="1:3" x14ac:dyDescent="0.4">
      <c r="B1737">
        <v>1.7</v>
      </c>
      <c r="C1737">
        <v>1.4</v>
      </c>
    </row>
    <row r="1738" spans="1:3" x14ac:dyDescent="0.4">
      <c r="B1738">
        <v>1.75</v>
      </c>
      <c r="C1738">
        <v>1.5</v>
      </c>
    </row>
    <row r="1739" spans="1:3" x14ac:dyDescent="0.4">
      <c r="B1739">
        <f>AVERAGE(B1717:B1738)</f>
        <v>1.7250000000000001</v>
      </c>
      <c r="C1739">
        <f>AVERAGE(C1717:C1738)</f>
        <v>1.4590909090909088</v>
      </c>
    </row>
    <row r="1741" spans="1:3" x14ac:dyDescent="0.4">
      <c r="A1741" t="s">
        <v>68</v>
      </c>
      <c r="B1741">
        <v>2.4</v>
      </c>
      <c r="C1741">
        <v>2.2999999999999998</v>
      </c>
    </row>
    <row r="1742" spans="1:3" x14ac:dyDescent="0.4">
      <c r="B1742">
        <v>2.0499999999999998</v>
      </c>
      <c r="C1742">
        <v>2.15</v>
      </c>
    </row>
    <row r="1743" spans="1:3" x14ac:dyDescent="0.4">
      <c r="B1743">
        <v>1.95</v>
      </c>
      <c r="C1743">
        <v>2</v>
      </c>
    </row>
    <row r="1744" spans="1:3" x14ac:dyDescent="0.4">
      <c r="B1744">
        <v>1.8</v>
      </c>
      <c r="C1744">
        <v>1.9</v>
      </c>
    </row>
    <row r="1745" spans="2:3" x14ac:dyDescent="0.4">
      <c r="B1745">
        <v>2</v>
      </c>
      <c r="C1745">
        <v>2</v>
      </c>
    </row>
    <row r="1746" spans="2:3" x14ac:dyDescent="0.4">
      <c r="B1746">
        <v>1.95</v>
      </c>
      <c r="C1746">
        <v>1.95</v>
      </c>
    </row>
    <row r="1747" spans="2:3" x14ac:dyDescent="0.4">
      <c r="B1747">
        <v>1.8</v>
      </c>
      <c r="C1747">
        <v>1.95</v>
      </c>
    </row>
    <row r="1748" spans="2:3" x14ac:dyDescent="0.4">
      <c r="B1748">
        <v>2.0499999999999998</v>
      </c>
      <c r="C1748">
        <v>2.1</v>
      </c>
    </row>
    <row r="1749" spans="2:3" x14ac:dyDescent="0.4">
      <c r="B1749">
        <v>2</v>
      </c>
      <c r="C1749">
        <v>2.1</v>
      </c>
    </row>
    <row r="1750" spans="2:3" x14ac:dyDescent="0.4">
      <c r="B1750">
        <v>1.6</v>
      </c>
      <c r="C1750">
        <v>1.8</v>
      </c>
    </row>
    <row r="1751" spans="2:3" x14ac:dyDescent="0.4">
      <c r="B1751">
        <v>1.75</v>
      </c>
      <c r="C1751">
        <v>1.9</v>
      </c>
    </row>
    <row r="1752" spans="2:3" x14ac:dyDescent="0.4">
      <c r="B1752">
        <v>2.15</v>
      </c>
      <c r="C1752">
        <v>2.15</v>
      </c>
    </row>
    <row r="1753" spans="2:3" x14ac:dyDescent="0.4">
      <c r="B1753">
        <v>2.0499999999999998</v>
      </c>
      <c r="C1753">
        <v>2.2000000000000002</v>
      </c>
    </row>
    <row r="1754" spans="2:3" x14ac:dyDescent="0.4">
      <c r="B1754">
        <v>1.7</v>
      </c>
      <c r="C1754">
        <v>1.95</v>
      </c>
    </row>
    <row r="1755" spans="2:3" x14ac:dyDescent="0.4">
      <c r="B1755">
        <v>2.1</v>
      </c>
      <c r="C1755">
        <v>2.2000000000000002</v>
      </c>
    </row>
    <row r="1756" spans="2:3" x14ac:dyDescent="0.4">
      <c r="B1756">
        <v>2.15</v>
      </c>
      <c r="C1756">
        <v>2.2000000000000002</v>
      </c>
    </row>
    <row r="1757" spans="2:3" x14ac:dyDescent="0.4">
      <c r="B1757">
        <v>2.0499999999999998</v>
      </c>
      <c r="C1757">
        <v>2.2000000000000002</v>
      </c>
    </row>
    <row r="1758" spans="2:3" x14ac:dyDescent="0.4">
      <c r="B1758">
        <v>2.2000000000000002</v>
      </c>
      <c r="C1758">
        <v>2.2000000000000002</v>
      </c>
    </row>
    <row r="1759" spans="2:3" x14ac:dyDescent="0.4">
      <c r="B1759">
        <v>1.6</v>
      </c>
      <c r="C1759">
        <v>1.85</v>
      </c>
    </row>
    <row r="1760" spans="2:3" x14ac:dyDescent="0.4">
      <c r="B1760">
        <v>2.25</v>
      </c>
      <c r="C1760">
        <v>2.25</v>
      </c>
    </row>
    <row r="1761" spans="2:3" x14ac:dyDescent="0.4">
      <c r="B1761">
        <v>1.85</v>
      </c>
      <c r="C1761">
        <v>2</v>
      </c>
    </row>
    <row r="1762" spans="2:3" x14ac:dyDescent="0.4">
      <c r="B1762">
        <v>2.1</v>
      </c>
      <c r="C1762">
        <v>2.1</v>
      </c>
    </row>
    <row r="1763" spans="2:3" x14ac:dyDescent="0.4">
      <c r="B1763">
        <v>1.9</v>
      </c>
      <c r="C1763">
        <v>2</v>
      </c>
    </row>
    <row r="1764" spans="2:3" x14ac:dyDescent="0.4">
      <c r="B1764">
        <v>1.8</v>
      </c>
      <c r="C1764">
        <v>2</v>
      </c>
    </row>
    <row r="1765" spans="2:3" x14ac:dyDescent="0.4">
      <c r="B1765">
        <v>2.1</v>
      </c>
      <c r="C1765">
        <v>2.1</v>
      </c>
    </row>
    <row r="1766" spans="2:3" x14ac:dyDescent="0.4">
      <c r="B1766">
        <v>1.9</v>
      </c>
      <c r="C1766">
        <v>2.1</v>
      </c>
    </row>
    <row r="1767" spans="2:3" x14ac:dyDescent="0.4">
      <c r="B1767">
        <v>1.7</v>
      </c>
      <c r="C1767">
        <v>2</v>
      </c>
    </row>
    <row r="1768" spans="2:3" x14ac:dyDescent="0.4">
      <c r="B1768">
        <v>1.8</v>
      </c>
      <c r="C1768">
        <v>2.0499999999999998</v>
      </c>
    </row>
    <row r="1769" spans="2:3" x14ac:dyDescent="0.4">
      <c r="B1769">
        <v>1.95</v>
      </c>
      <c r="C1769">
        <v>2.15</v>
      </c>
    </row>
    <row r="1770" spans="2:3" x14ac:dyDescent="0.4">
      <c r="B1770">
        <v>1.95</v>
      </c>
      <c r="C1770">
        <v>2.15</v>
      </c>
    </row>
    <row r="1771" spans="2:3" x14ac:dyDescent="0.4">
      <c r="B1771">
        <v>1.9</v>
      </c>
      <c r="C1771">
        <v>2.2000000000000002</v>
      </c>
    </row>
    <row r="1772" spans="2:3" x14ac:dyDescent="0.4">
      <c r="B1772">
        <v>2.1</v>
      </c>
      <c r="C1772">
        <v>2.1</v>
      </c>
    </row>
    <row r="1773" spans="2:3" x14ac:dyDescent="0.4">
      <c r="B1773">
        <v>2.1</v>
      </c>
      <c r="C1773">
        <v>2.15</v>
      </c>
    </row>
    <row r="1774" spans="2:3" x14ac:dyDescent="0.4">
      <c r="B1774">
        <v>1.8</v>
      </c>
      <c r="C1774">
        <v>2</v>
      </c>
    </row>
    <row r="1775" spans="2:3" x14ac:dyDescent="0.4">
      <c r="B1775">
        <v>1.7</v>
      </c>
      <c r="C1775">
        <v>1.9</v>
      </c>
    </row>
    <row r="1776" spans="2:3" x14ac:dyDescent="0.4">
      <c r="B1776">
        <v>1.85</v>
      </c>
      <c r="C1776">
        <v>2</v>
      </c>
    </row>
    <row r="1777" spans="1:3" x14ac:dyDescent="0.4">
      <c r="B1777">
        <v>2.1</v>
      </c>
      <c r="C1777">
        <v>2.2000000000000002</v>
      </c>
    </row>
    <row r="1778" spans="1:3" x14ac:dyDescent="0.4">
      <c r="B1778">
        <v>1.95</v>
      </c>
      <c r="C1778">
        <v>2.2000000000000002</v>
      </c>
    </row>
    <row r="1779" spans="1:3" x14ac:dyDescent="0.4">
      <c r="B1779">
        <v>2.1</v>
      </c>
      <c r="C1779">
        <v>2.2999999999999998</v>
      </c>
    </row>
    <row r="1780" spans="1:3" x14ac:dyDescent="0.4">
      <c r="B1780">
        <v>2.4500000000000002</v>
      </c>
      <c r="C1780">
        <v>2.35</v>
      </c>
    </row>
    <row r="1781" spans="1:3" x14ac:dyDescent="0.4">
      <c r="B1781">
        <f>AVERAGE(B1741:B1780)</f>
        <v>1.9674999999999998</v>
      </c>
      <c r="C1781">
        <f>AVERAGE(C1741:C1780)</f>
        <v>2.085</v>
      </c>
    </row>
    <row r="1783" spans="1:3" x14ac:dyDescent="0.4">
      <c r="A1783" t="s">
        <v>92</v>
      </c>
      <c r="B1783">
        <v>2.2000000000000002</v>
      </c>
      <c r="C1783">
        <v>1.85</v>
      </c>
    </row>
    <row r="1784" spans="1:3" x14ac:dyDescent="0.4">
      <c r="B1784">
        <v>1.95</v>
      </c>
      <c r="C1784">
        <v>1.8</v>
      </c>
    </row>
    <row r="1785" spans="1:3" x14ac:dyDescent="0.4">
      <c r="B1785">
        <v>1.9</v>
      </c>
      <c r="C1785">
        <v>1.9</v>
      </c>
    </row>
    <row r="1786" spans="1:3" x14ac:dyDescent="0.4">
      <c r="B1786">
        <v>2.0499999999999998</v>
      </c>
      <c r="C1786">
        <v>1.9</v>
      </c>
    </row>
    <row r="1787" spans="1:3" x14ac:dyDescent="0.4">
      <c r="B1787">
        <v>2.8</v>
      </c>
      <c r="C1787">
        <v>1.75</v>
      </c>
    </row>
    <row r="1788" spans="1:3" x14ac:dyDescent="0.4">
      <c r="B1788">
        <v>2.6</v>
      </c>
      <c r="C1788">
        <v>1.9</v>
      </c>
    </row>
    <row r="1789" spans="1:3" x14ac:dyDescent="0.4">
      <c r="B1789">
        <v>2.4</v>
      </c>
      <c r="C1789">
        <v>1.8</v>
      </c>
    </row>
    <row r="1790" spans="1:3" x14ac:dyDescent="0.4">
      <c r="B1790">
        <v>1.95</v>
      </c>
      <c r="C1790">
        <v>1.7</v>
      </c>
    </row>
    <row r="1791" spans="1:3" x14ac:dyDescent="0.4">
      <c r="B1791">
        <v>1.7</v>
      </c>
      <c r="C1791">
        <v>1.5</v>
      </c>
    </row>
    <row r="1792" spans="1:3" x14ac:dyDescent="0.4">
      <c r="B1792">
        <v>2.15</v>
      </c>
      <c r="C1792">
        <v>1.95</v>
      </c>
    </row>
    <row r="1793" spans="2:3" x14ac:dyDescent="0.4">
      <c r="B1793">
        <v>2.5</v>
      </c>
      <c r="C1793">
        <v>1.9</v>
      </c>
    </row>
    <row r="1794" spans="2:3" x14ac:dyDescent="0.4">
      <c r="B1794">
        <v>1.8</v>
      </c>
      <c r="C1794">
        <v>1.8</v>
      </c>
    </row>
    <row r="1795" spans="2:3" x14ac:dyDescent="0.4">
      <c r="B1795">
        <v>2.1</v>
      </c>
      <c r="C1795">
        <v>1.8</v>
      </c>
    </row>
    <row r="1796" spans="2:3" x14ac:dyDescent="0.4">
      <c r="B1796">
        <v>1.9</v>
      </c>
      <c r="C1796">
        <v>1.75</v>
      </c>
    </row>
    <row r="1797" spans="2:3" x14ac:dyDescent="0.4">
      <c r="B1797">
        <v>2.1</v>
      </c>
      <c r="C1797">
        <v>1.95</v>
      </c>
    </row>
    <row r="1798" spans="2:3" x14ac:dyDescent="0.4">
      <c r="B1798">
        <v>2.1</v>
      </c>
      <c r="C1798">
        <v>1.75</v>
      </c>
    </row>
    <row r="1799" spans="2:3" x14ac:dyDescent="0.4">
      <c r="B1799">
        <v>2.4</v>
      </c>
      <c r="C1799">
        <v>2.0499999999999998</v>
      </c>
    </row>
    <row r="1800" spans="2:3" x14ac:dyDescent="0.4">
      <c r="B1800">
        <v>2</v>
      </c>
      <c r="C1800">
        <v>1.6</v>
      </c>
    </row>
    <row r="1801" spans="2:3" x14ac:dyDescent="0.4">
      <c r="B1801">
        <v>1.7</v>
      </c>
      <c r="C1801">
        <v>1.75</v>
      </c>
    </row>
    <row r="1802" spans="2:3" x14ac:dyDescent="0.4">
      <c r="B1802">
        <v>1.8</v>
      </c>
      <c r="C1802">
        <v>1.75</v>
      </c>
    </row>
    <row r="1803" spans="2:3" x14ac:dyDescent="0.4">
      <c r="B1803">
        <v>2.1</v>
      </c>
      <c r="C1803">
        <v>2</v>
      </c>
    </row>
    <row r="1804" spans="2:3" x14ac:dyDescent="0.4">
      <c r="B1804">
        <v>2.1</v>
      </c>
      <c r="C1804">
        <v>1.9</v>
      </c>
    </row>
    <row r="1805" spans="2:3" x14ac:dyDescent="0.4">
      <c r="B1805">
        <v>2.2000000000000002</v>
      </c>
      <c r="C1805">
        <v>1.8</v>
      </c>
    </row>
    <row r="1806" spans="2:3" x14ac:dyDescent="0.4">
      <c r="B1806">
        <v>1.9</v>
      </c>
      <c r="C1806">
        <v>1.65</v>
      </c>
    </row>
    <row r="1807" spans="2:3" x14ac:dyDescent="0.4">
      <c r="B1807">
        <v>2.0499999999999998</v>
      </c>
      <c r="C1807">
        <v>1.5</v>
      </c>
    </row>
    <row r="1808" spans="2:3" x14ac:dyDescent="0.4">
      <c r="B1808">
        <v>1.4</v>
      </c>
      <c r="C1808">
        <v>1.45</v>
      </c>
    </row>
    <row r="1809" spans="1:3" x14ac:dyDescent="0.4">
      <c r="B1809">
        <f>AVERAGE(B1783:B1808)</f>
        <v>2.0711538461538463</v>
      </c>
      <c r="C1809">
        <f>AVERAGE(C1783:C1808)</f>
        <v>1.7865384615384614</v>
      </c>
    </row>
    <row r="1811" spans="1:3" x14ac:dyDescent="0.4">
      <c r="A1811" t="s">
        <v>99</v>
      </c>
      <c r="B1811">
        <v>1.2</v>
      </c>
      <c r="C1811">
        <v>1.2</v>
      </c>
    </row>
    <row r="1812" spans="1:3" x14ac:dyDescent="0.4">
      <c r="B1812">
        <v>1.35</v>
      </c>
      <c r="C1812">
        <v>1.25</v>
      </c>
    </row>
    <row r="1813" spans="1:3" x14ac:dyDescent="0.4">
      <c r="B1813">
        <v>1.6</v>
      </c>
      <c r="C1813">
        <v>1.4</v>
      </c>
    </row>
    <row r="1814" spans="1:3" x14ac:dyDescent="0.4">
      <c r="B1814">
        <v>1.25</v>
      </c>
      <c r="C1814">
        <v>1.3</v>
      </c>
    </row>
    <row r="1815" spans="1:3" x14ac:dyDescent="0.4">
      <c r="B1815">
        <v>1.5</v>
      </c>
      <c r="C1815">
        <v>1.45</v>
      </c>
    </row>
    <row r="1816" spans="1:3" x14ac:dyDescent="0.4">
      <c r="B1816">
        <v>1.05</v>
      </c>
      <c r="C1816">
        <v>1.1499999999999999</v>
      </c>
    </row>
    <row r="1817" spans="1:3" x14ac:dyDescent="0.4">
      <c r="B1817">
        <v>1.3</v>
      </c>
      <c r="C1817">
        <v>1.1499999999999999</v>
      </c>
    </row>
    <row r="1818" spans="1:3" x14ac:dyDescent="0.4">
      <c r="B1818">
        <v>1.2</v>
      </c>
      <c r="C1818">
        <v>1.3</v>
      </c>
    </row>
    <row r="1819" spans="1:3" x14ac:dyDescent="0.4">
      <c r="B1819">
        <v>1.3</v>
      </c>
      <c r="C1819">
        <v>1.35</v>
      </c>
    </row>
    <row r="1820" spans="1:3" x14ac:dyDescent="0.4">
      <c r="B1820">
        <v>1.35</v>
      </c>
      <c r="C1820">
        <v>1.3</v>
      </c>
    </row>
    <row r="1821" spans="1:3" x14ac:dyDescent="0.4">
      <c r="B1821">
        <v>1.1000000000000001</v>
      </c>
      <c r="C1821">
        <v>1.2</v>
      </c>
    </row>
    <row r="1822" spans="1:3" x14ac:dyDescent="0.4">
      <c r="B1822">
        <v>1.5</v>
      </c>
      <c r="C1822">
        <v>1.45</v>
      </c>
    </row>
    <row r="1823" spans="1:3" x14ac:dyDescent="0.4">
      <c r="B1823">
        <v>1.5</v>
      </c>
      <c r="C1823">
        <v>1.5</v>
      </c>
    </row>
    <row r="1824" spans="1:3" x14ac:dyDescent="0.4">
      <c r="B1824">
        <f>AVERAGE(B1811:B1823)</f>
        <v>1.323076923076923</v>
      </c>
      <c r="C1824">
        <f>AVERAGE(C1811:C1823)</f>
        <v>1.3076923076923077</v>
      </c>
    </row>
    <row r="1826" spans="1:3" x14ac:dyDescent="0.4">
      <c r="A1826" t="s">
        <v>117</v>
      </c>
      <c r="B1826">
        <v>2.4500000000000002</v>
      </c>
      <c r="C1826">
        <v>2</v>
      </c>
    </row>
    <row r="1827" spans="1:3" x14ac:dyDescent="0.4">
      <c r="B1827">
        <v>2.8</v>
      </c>
      <c r="C1827">
        <v>2.25</v>
      </c>
    </row>
    <row r="1828" spans="1:3" x14ac:dyDescent="0.4">
      <c r="B1828">
        <v>1.95</v>
      </c>
      <c r="C1828">
        <v>1.85</v>
      </c>
    </row>
    <row r="1829" spans="1:3" x14ac:dyDescent="0.4">
      <c r="B1829">
        <v>2.4</v>
      </c>
      <c r="C1829">
        <v>2.2000000000000002</v>
      </c>
    </row>
    <row r="1830" spans="1:3" x14ac:dyDescent="0.4">
      <c r="B1830">
        <v>2.6</v>
      </c>
      <c r="C1830">
        <v>2.2999999999999998</v>
      </c>
    </row>
    <row r="1831" spans="1:3" x14ac:dyDescent="0.4">
      <c r="B1831">
        <f>AVERAGE(B1826:B1830)</f>
        <v>2.44</v>
      </c>
      <c r="C1831">
        <f>AVERAGE(C1826:C1830)</f>
        <v>2.12</v>
      </c>
    </row>
    <row r="1833" spans="1:3" x14ac:dyDescent="0.4">
      <c r="A1833" t="s">
        <v>125</v>
      </c>
      <c r="B1833">
        <v>2.9</v>
      </c>
      <c r="C1833">
        <v>2.4</v>
      </c>
    </row>
    <row r="1834" spans="1:3" x14ac:dyDescent="0.4">
      <c r="B1834">
        <v>2.2999999999999998</v>
      </c>
      <c r="C1834">
        <v>2.2000000000000002</v>
      </c>
    </row>
    <row r="1835" spans="1:3" x14ac:dyDescent="0.4">
      <c r="B1835">
        <v>2.8</v>
      </c>
      <c r="C1835">
        <v>2.2999999999999998</v>
      </c>
    </row>
    <row r="1836" spans="1:3" x14ac:dyDescent="0.4">
      <c r="B1836">
        <v>2.35</v>
      </c>
      <c r="C1836">
        <v>2.0499999999999998</v>
      </c>
    </row>
    <row r="1837" spans="1:3" x14ac:dyDescent="0.4">
      <c r="B1837">
        <v>2.8</v>
      </c>
      <c r="C1837">
        <v>2.4</v>
      </c>
    </row>
    <row r="1838" spans="1:3" x14ac:dyDescent="0.4">
      <c r="B1838">
        <v>2.6</v>
      </c>
      <c r="C1838">
        <v>2.1</v>
      </c>
    </row>
    <row r="1839" spans="1:3" x14ac:dyDescent="0.4">
      <c r="B1839">
        <f>AVERAGE(B1833:B1838)</f>
        <v>2.6249999999999996</v>
      </c>
      <c r="C1839">
        <f>AVERAGE(C1833:C1838)</f>
        <v>2.2416666666666667</v>
      </c>
    </row>
    <row r="1841" spans="1:3" x14ac:dyDescent="0.4">
      <c r="A1841" t="s">
        <v>105</v>
      </c>
      <c r="B1841">
        <v>2.15</v>
      </c>
      <c r="C1841">
        <v>1.5</v>
      </c>
    </row>
    <row r="1842" spans="1:3" x14ac:dyDescent="0.4">
      <c r="B1842">
        <v>2.7</v>
      </c>
      <c r="C1842">
        <v>2.1</v>
      </c>
    </row>
    <row r="1843" spans="1:3" x14ac:dyDescent="0.4">
      <c r="B1843">
        <v>2.5</v>
      </c>
      <c r="C1843">
        <v>2</v>
      </c>
    </row>
    <row r="1844" spans="1:3" x14ac:dyDescent="0.4">
      <c r="B1844">
        <v>2.1</v>
      </c>
      <c r="C1844">
        <v>2.1</v>
      </c>
    </row>
    <row r="1845" spans="1:3" x14ac:dyDescent="0.4">
      <c r="B1845">
        <v>2.2000000000000002</v>
      </c>
      <c r="C1845">
        <v>1.8</v>
      </c>
    </row>
    <row r="1846" spans="1:3" x14ac:dyDescent="0.4">
      <c r="B1846">
        <v>2.4500000000000002</v>
      </c>
      <c r="C1846">
        <v>2.0499999999999998</v>
      </c>
    </row>
    <row r="1847" spans="1:3" x14ac:dyDescent="0.4">
      <c r="B1847">
        <v>2.0499999999999998</v>
      </c>
      <c r="C1847">
        <v>1.9</v>
      </c>
    </row>
    <row r="1848" spans="1:3" x14ac:dyDescent="0.4">
      <c r="B1848">
        <f>AVERAGE(B1841:B1847)</f>
        <v>2.3071428571428569</v>
      </c>
      <c r="C1848">
        <f>AVERAGE(C1841:C1847)</f>
        <v>1.9214285714285715</v>
      </c>
    </row>
    <row r="1850" spans="1:3" x14ac:dyDescent="0.4">
      <c r="A1850" t="s">
        <v>112</v>
      </c>
      <c r="B1850">
        <v>2.2999999999999998</v>
      </c>
      <c r="C1850">
        <v>1.8</v>
      </c>
    </row>
    <row r="1851" spans="1:3" x14ac:dyDescent="0.4">
      <c r="B1851">
        <v>2.85</v>
      </c>
      <c r="C1851">
        <v>2.15</v>
      </c>
    </row>
    <row r="1852" spans="1:3" x14ac:dyDescent="0.4">
      <c r="B1852">
        <v>1.6</v>
      </c>
      <c r="C1852">
        <v>1.65</v>
      </c>
    </row>
    <row r="1853" spans="1:3" x14ac:dyDescent="0.4">
      <c r="B1853">
        <v>1.95</v>
      </c>
      <c r="C1853">
        <v>1.8</v>
      </c>
    </row>
    <row r="1854" spans="1:3" x14ac:dyDescent="0.4">
      <c r="B1854">
        <v>2.4</v>
      </c>
      <c r="C1854">
        <v>2</v>
      </c>
    </row>
    <row r="1855" spans="1:3" x14ac:dyDescent="0.4">
      <c r="B1855">
        <v>2.4</v>
      </c>
      <c r="C1855">
        <v>2</v>
      </c>
    </row>
    <row r="1856" spans="1:3" x14ac:dyDescent="0.4">
      <c r="B1856">
        <f>AVERAGE(B1850:B1855)</f>
        <v>2.25</v>
      </c>
      <c r="C1856">
        <f>AVERAGE(C1850:C1855)</f>
        <v>1.8999999999999997</v>
      </c>
    </row>
    <row r="1858" spans="1:3" x14ac:dyDescent="0.4">
      <c r="A1858" t="s">
        <v>109</v>
      </c>
      <c r="B1858">
        <v>2.1</v>
      </c>
      <c r="C1858">
        <v>1.7</v>
      </c>
    </row>
    <row r="1859" spans="1:3" x14ac:dyDescent="0.4">
      <c r="B1859">
        <v>1.5</v>
      </c>
      <c r="C1859">
        <v>1.3</v>
      </c>
    </row>
    <row r="1860" spans="1:3" x14ac:dyDescent="0.4">
      <c r="B1860">
        <v>2</v>
      </c>
      <c r="C1860">
        <v>1.6</v>
      </c>
    </row>
    <row r="1861" spans="1:3" x14ac:dyDescent="0.4">
      <c r="B1861">
        <v>1.1000000000000001</v>
      </c>
      <c r="C1861">
        <v>1.35</v>
      </c>
    </row>
    <row r="1862" spans="1:3" x14ac:dyDescent="0.4">
      <c r="B1862">
        <v>1.9</v>
      </c>
      <c r="C1862">
        <v>1.5</v>
      </c>
    </row>
    <row r="1863" spans="1:3" x14ac:dyDescent="0.4">
      <c r="B1863">
        <v>1.9</v>
      </c>
      <c r="C1863">
        <v>1.6</v>
      </c>
    </row>
    <row r="1864" spans="1:3" x14ac:dyDescent="0.4">
      <c r="B1864">
        <v>1.5</v>
      </c>
      <c r="C1864">
        <v>1.4</v>
      </c>
    </row>
    <row r="1865" spans="1:3" x14ac:dyDescent="0.4">
      <c r="B1865">
        <v>1.95</v>
      </c>
      <c r="C1865">
        <v>1.6</v>
      </c>
    </row>
    <row r="1866" spans="1:3" x14ac:dyDescent="0.4">
      <c r="B1866">
        <f>AVERAGE(B1858:B1865)</f>
        <v>1.7437499999999999</v>
      </c>
      <c r="C1866">
        <f>AVERAGE(C1858:C1865)</f>
        <v>1.5062499999999999</v>
      </c>
    </row>
    <row r="1868" spans="1:3" x14ac:dyDescent="0.4">
      <c r="A1868" t="s">
        <v>67</v>
      </c>
      <c r="B1868">
        <v>2.9</v>
      </c>
      <c r="C1868">
        <v>2.7</v>
      </c>
    </row>
    <row r="1869" spans="1:3" x14ac:dyDescent="0.4">
      <c r="B1869">
        <v>2.2999999999999998</v>
      </c>
      <c r="C1869">
        <v>1.9</v>
      </c>
    </row>
    <row r="1870" spans="1:3" x14ac:dyDescent="0.4">
      <c r="B1870">
        <v>2.7</v>
      </c>
      <c r="C1870">
        <v>2.2999999999999998</v>
      </c>
    </row>
    <row r="1871" spans="1:3" x14ac:dyDescent="0.4">
      <c r="B1871">
        <v>2.2000000000000002</v>
      </c>
      <c r="C1871">
        <v>2.1</v>
      </c>
    </row>
    <row r="1872" spans="1:3" x14ac:dyDescent="0.4">
      <c r="B1872">
        <v>2.4</v>
      </c>
      <c r="C1872">
        <v>2.4</v>
      </c>
    </row>
    <row r="1873" spans="1:3" x14ac:dyDescent="0.4">
      <c r="B1873">
        <v>2.4</v>
      </c>
      <c r="C1873">
        <v>2.2999999999999998</v>
      </c>
    </row>
    <row r="1874" spans="1:3" x14ac:dyDescent="0.4">
      <c r="B1874">
        <v>2.6</v>
      </c>
      <c r="C1874">
        <v>2</v>
      </c>
    </row>
    <row r="1875" spans="1:3" x14ac:dyDescent="0.4">
      <c r="B1875">
        <v>1.7</v>
      </c>
      <c r="C1875">
        <v>2.1</v>
      </c>
    </row>
    <row r="1876" spans="1:3" x14ac:dyDescent="0.4">
      <c r="B1876">
        <v>2.2000000000000002</v>
      </c>
      <c r="C1876">
        <v>2.1</v>
      </c>
    </row>
    <row r="1877" spans="1:3" x14ac:dyDescent="0.4">
      <c r="B1877">
        <v>2.0499999999999998</v>
      </c>
      <c r="C1877">
        <v>2.1</v>
      </c>
    </row>
    <row r="1878" spans="1:3" x14ac:dyDescent="0.4">
      <c r="B1878">
        <v>1.75</v>
      </c>
      <c r="C1878">
        <v>2.2000000000000002</v>
      </c>
    </row>
    <row r="1879" spans="1:3" x14ac:dyDescent="0.4">
      <c r="B1879">
        <f>AVERAGE(B1868:B1878)</f>
        <v>2.290909090909091</v>
      </c>
      <c r="C1879">
        <f>AVERAGE(C1868:C1878)</f>
        <v>2.2000000000000002</v>
      </c>
    </row>
    <row r="1881" spans="1:3" x14ac:dyDescent="0.4">
      <c r="A1881" t="s">
        <v>118</v>
      </c>
      <c r="B1881">
        <v>2</v>
      </c>
      <c r="C1881">
        <v>1.95</v>
      </c>
    </row>
    <row r="1882" spans="1:3" x14ac:dyDescent="0.4">
      <c r="B1882">
        <v>1.8</v>
      </c>
      <c r="C1882">
        <v>1.8</v>
      </c>
    </row>
    <row r="1883" spans="1:3" x14ac:dyDescent="0.4">
      <c r="B1883">
        <v>1.95</v>
      </c>
      <c r="C1883">
        <v>1.9</v>
      </c>
    </row>
    <row r="1884" spans="1:3" x14ac:dyDescent="0.4">
      <c r="B1884">
        <v>1.8</v>
      </c>
      <c r="C1884">
        <v>1.9</v>
      </c>
    </row>
    <row r="1885" spans="1:3" x14ac:dyDescent="0.4">
      <c r="B1885">
        <v>1.9</v>
      </c>
      <c r="C1885">
        <v>1.9</v>
      </c>
    </row>
    <row r="1886" spans="1:3" x14ac:dyDescent="0.4">
      <c r="B1886">
        <v>2</v>
      </c>
      <c r="C1886">
        <v>2</v>
      </c>
    </row>
    <row r="1887" spans="1:3" x14ac:dyDescent="0.4">
      <c r="B1887">
        <v>2</v>
      </c>
      <c r="C1887">
        <v>1.95</v>
      </c>
    </row>
    <row r="1888" spans="1:3" x14ac:dyDescent="0.4">
      <c r="B1888">
        <f>AVERAGE(B1881:B1887)</f>
        <v>1.9214285714285713</v>
      </c>
      <c r="C1888">
        <f>AVERAGE(C1881:C1887)</f>
        <v>1.9142857142857144</v>
      </c>
    </row>
    <row r="1890" spans="1:3" x14ac:dyDescent="0.4">
      <c r="A1890" t="s">
        <v>101</v>
      </c>
      <c r="B1890">
        <v>2</v>
      </c>
      <c r="C1890">
        <v>2</v>
      </c>
    </row>
    <row r="1891" spans="1:3" x14ac:dyDescent="0.4">
      <c r="B1891">
        <v>2.4</v>
      </c>
      <c r="C1891">
        <v>2.4</v>
      </c>
    </row>
    <row r="1892" spans="1:3" x14ac:dyDescent="0.4">
      <c r="B1892">
        <v>2</v>
      </c>
      <c r="C1892">
        <v>2</v>
      </c>
    </row>
    <row r="1893" spans="1:3" x14ac:dyDescent="0.4">
      <c r="B1893">
        <v>1.6</v>
      </c>
      <c r="C1893">
        <v>1.75</v>
      </c>
    </row>
    <row r="1894" spans="1:3" x14ac:dyDescent="0.4">
      <c r="B1894">
        <v>1.5</v>
      </c>
      <c r="C1894">
        <v>1.85</v>
      </c>
    </row>
    <row r="1895" spans="1:3" x14ac:dyDescent="0.4">
      <c r="B1895">
        <v>2.2000000000000002</v>
      </c>
      <c r="C1895">
        <v>2.25</v>
      </c>
    </row>
    <row r="1896" spans="1:3" x14ac:dyDescent="0.4">
      <c r="B1896">
        <v>1.9</v>
      </c>
      <c r="C1896">
        <v>1.85</v>
      </c>
    </row>
    <row r="1897" spans="1:3" x14ac:dyDescent="0.4">
      <c r="B1897">
        <v>1.9</v>
      </c>
      <c r="C1897">
        <v>1.95</v>
      </c>
    </row>
    <row r="1898" spans="1:3" x14ac:dyDescent="0.4">
      <c r="B1898">
        <f>AVERAGE(B1890:B1897)</f>
        <v>1.9375</v>
      </c>
      <c r="C1898">
        <f>AVERAGE(C1890:C1897)</f>
        <v>2.0062500000000001</v>
      </c>
    </row>
    <row r="1900" spans="1:3" x14ac:dyDescent="0.4">
      <c r="A1900" t="s">
        <v>107</v>
      </c>
      <c r="B1900">
        <v>2.5</v>
      </c>
      <c r="C1900">
        <v>1.9</v>
      </c>
    </row>
    <row r="1901" spans="1:3" x14ac:dyDescent="0.4">
      <c r="B1901">
        <v>2.1</v>
      </c>
      <c r="C1901">
        <v>1.6</v>
      </c>
    </row>
    <row r="1902" spans="1:3" x14ac:dyDescent="0.4">
      <c r="B1902">
        <v>2.1</v>
      </c>
      <c r="C1902">
        <v>1.6</v>
      </c>
    </row>
    <row r="1903" spans="1:3" x14ac:dyDescent="0.4">
      <c r="B1903">
        <v>1.75</v>
      </c>
      <c r="C1903">
        <v>1.6</v>
      </c>
    </row>
    <row r="1904" spans="1:3" x14ac:dyDescent="0.4">
      <c r="B1904">
        <v>2.0499999999999998</v>
      </c>
      <c r="C1904">
        <v>1.5</v>
      </c>
    </row>
    <row r="1905" spans="1:3" x14ac:dyDescent="0.4">
      <c r="B1905">
        <v>2.2000000000000002</v>
      </c>
      <c r="C1905">
        <v>1.5</v>
      </c>
    </row>
    <row r="1906" spans="1:3" x14ac:dyDescent="0.4">
      <c r="B1906">
        <v>2</v>
      </c>
      <c r="C1906">
        <v>1.7</v>
      </c>
    </row>
    <row r="1907" spans="1:3" x14ac:dyDescent="0.4">
      <c r="B1907">
        <v>2.5</v>
      </c>
      <c r="C1907">
        <v>1.8</v>
      </c>
    </row>
    <row r="1908" spans="1:3" x14ac:dyDescent="0.4">
      <c r="B1908">
        <v>2.4500000000000002</v>
      </c>
      <c r="C1908">
        <v>1.9</v>
      </c>
    </row>
    <row r="1909" spans="1:3" x14ac:dyDescent="0.4">
      <c r="B1909">
        <v>2</v>
      </c>
      <c r="C1909">
        <v>1.6</v>
      </c>
    </row>
    <row r="1910" spans="1:3" x14ac:dyDescent="0.4">
      <c r="B1910">
        <v>2.1</v>
      </c>
      <c r="C1910">
        <v>1.5</v>
      </c>
    </row>
    <row r="1911" spans="1:3" x14ac:dyDescent="0.4">
      <c r="B1911">
        <v>2</v>
      </c>
      <c r="C1911">
        <v>1.85</v>
      </c>
    </row>
    <row r="1912" spans="1:3" x14ac:dyDescent="0.4">
      <c r="B1912">
        <v>2.15</v>
      </c>
      <c r="C1912">
        <v>1.7</v>
      </c>
    </row>
    <row r="1913" spans="1:3" x14ac:dyDescent="0.4">
      <c r="B1913">
        <v>2.25</v>
      </c>
      <c r="C1913">
        <v>1.7</v>
      </c>
    </row>
    <row r="1914" spans="1:3" x14ac:dyDescent="0.4">
      <c r="B1914">
        <f>AVERAGE(B1900:B1913)</f>
        <v>2.1535714285714285</v>
      </c>
      <c r="C1914">
        <f>AVERAGE(C1900:C1913)</f>
        <v>1.675</v>
      </c>
    </row>
    <row r="1916" spans="1:3" x14ac:dyDescent="0.4">
      <c r="A1916" t="s">
        <v>113</v>
      </c>
      <c r="B1916">
        <v>2.2000000000000002</v>
      </c>
      <c r="C1916">
        <v>2</v>
      </c>
    </row>
    <row r="1917" spans="1:3" x14ac:dyDescent="0.4">
      <c r="B1917">
        <v>3</v>
      </c>
      <c r="C1917">
        <v>2.2000000000000002</v>
      </c>
    </row>
    <row r="1918" spans="1:3" x14ac:dyDescent="0.4">
      <c r="B1918">
        <v>2.5</v>
      </c>
      <c r="C1918">
        <v>2.1</v>
      </c>
    </row>
    <row r="1919" spans="1:3" x14ac:dyDescent="0.4">
      <c r="B1919">
        <v>2.65</v>
      </c>
      <c r="C1919">
        <v>1.75</v>
      </c>
    </row>
    <row r="1920" spans="1:3" x14ac:dyDescent="0.4">
      <c r="B1920">
        <v>2.4500000000000002</v>
      </c>
      <c r="C1920">
        <v>1.95</v>
      </c>
    </row>
    <row r="1921" spans="1:3" x14ac:dyDescent="0.4">
      <c r="B1921">
        <v>3.1</v>
      </c>
      <c r="C1921">
        <v>2.1</v>
      </c>
    </row>
    <row r="1922" spans="1:3" x14ac:dyDescent="0.4">
      <c r="B1922">
        <f>AVERAGE(B1916:B1921)</f>
        <v>2.65</v>
      </c>
      <c r="C1922">
        <f>AVERAGE(C1916:C1921)</f>
        <v>2.0166666666666666</v>
      </c>
    </row>
    <row r="1924" spans="1:3" x14ac:dyDescent="0.4">
      <c r="A1924" t="s">
        <v>195</v>
      </c>
      <c r="B1924">
        <v>1.5</v>
      </c>
      <c r="C1924">
        <v>1.6</v>
      </c>
    </row>
    <row r="1925" spans="1:3" x14ac:dyDescent="0.4">
      <c r="B1925">
        <v>1.5</v>
      </c>
      <c r="C1925">
        <v>1.7</v>
      </c>
    </row>
    <row r="1926" spans="1:3" x14ac:dyDescent="0.4">
      <c r="B1926">
        <v>1.45</v>
      </c>
      <c r="C1926">
        <v>1.6</v>
      </c>
    </row>
    <row r="1927" spans="1:3" x14ac:dyDescent="0.4">
      <c r="B1927">
        <v>1.6</v>
      </c>
      <c r="C1927">
        <v>1.7</v>
      </c>
    </row>
    <row r="1928" spans="1:3" x14ac:dyDescent="0.4">
      <c r="B1928">
        <v>1.6</v>
      </c>
      <c r="C1928">
        <v>1.9</v>
      </c>
    </row>
    <row r="1929" spans="1:3" x14ac:dyDescent="0.4">
      <c r="B1929">
        <v>1.7</v>
      </c>
      <c r="C1929">
        <v>1.85</v>
      </c>
    </row>
    <row r="1930" spans="1:3" x14ac:dyDescent="0.4">
      <c r="B1930">
        <v>1.55</v>
      </c>
      <c r="C1930">
        <v>1.7</v>
      </c>
    </row>
    <row r="1931" spans="1:3" x14ac:dyDescent="0.4">
      <c r="B1931">
        <v>1.6</v>
      </c>
      <c r="C1931">
        <v>1.8</v>
      </c>
    </row>
    <row r="1932" spans="1:3" x14ac:dyDescent="0.4">
      <c r="B1932">
        <v>1.6</v>
      </c>
      <c r="C1932">
        <v>1.85</v>
      </c>
    </row>
    <row r="1933" spans="1:3" x14ac:dyDescent="0.4">
      <c r="B1933">
        <v>1.4</v>
      </c>
      <c r="C1933">
        <v>1.8</v>
      </c>
    </row>
    <row r="1934" spans="1:3" x14ac:dyDescent="0.4">
      <c r="B1934">
        <v>1.85</v>
      </c>
      <c r="C1934">
        <v>1.95</v>
      </c>
    </row>
    <row r="1935" spans="1:3" x14ac:dyDescent="0.4">
      <c r="B1935">
        <v>1.35</v>
      </c>
      <c r="C1935">
        <v>1.65</v>
      </c>
    </row>
    <row r="1936" spans="1:3" x14ac:dyDescent="0.4">
      <c r="B1936">
        <v>1.8</v>
      </c>
      <c r="C1936">
        <v>1.8</v>
      </c>
    </row>
    <row r="1937" spans="1:3" x14ac:dyDescent="0.4">
      <c r="B1937">
        <v>1.6</v>
      </c>
      <c r="C1937">
        <v>1.8</v>
      </c>
    </row>
    <row r="1938" spans="1:3" x14ac:dyDescent="0.4">
      <c r="B1938">
        <v>1.5</v>
      </c>
      <c r="C1938">
        <v>1.55</v>
      </c>
    </row>
    <row r="1939" spans="1:3" x14ac:dyDescent="0.4">
      <c r="B1939">
        <v>1.4</v>
      </c>
      <c r="C1939">
        <v>1.7</v>
      </c>
    </row>
    <row r="1940" spans="1:3" x14ac:dyDescent="0.4">
      <c r="B1940">
        <v>1.7</v>
      </c>
      <c r="C1940">
        <v>1.95</v>
      </c>
    </row>
    <row r="1941" spans="1:3" x14ac:dyDescent="0.4">
      <c r="B1941">
        <v>1.6</v>
      </c>
      <c r="C1941">
        <v>1.9</v>
      </c>
    </row>
    <row r="1942" spans="1:3" x14ac:dyDescent="0.4">
      <c r="B1942">
        <v>1.7</v>
      </c>
      <c r="C1942">
        <v>1.9</v>
      </c>
    </row>
    <row r="1943" spans="1:3" x14ac:dyDescent="0.4">
      <c r="B1943">
        <v>1.6</v>
      </c>
      <c r="C1943">
        <v>1.8</v>
      </c>
    </row>
    <row r="1944" spans="1:3" x14ac:dyDescent="0.4">
      <c r="B1944">
        <v>1.6</v>
      </c>
      <c r="C1944">
        <v>1.7</v>
      </c>
    </row>
    <row r="1945" spans="1:3" x14ac:dyDescent="0.4">
      <c r="B1945">
        <v>1.8</v>
      </c>
      <c r="C1945">
        <v>1.8</v>
      </c>
    </row>
    <row r="1946" spans="1:3" x14ac:dyDescent="0.4">
      <c r="B1946">
        <v>1.6</v>
      </c>
      <c r="C1946">
        <v>1.9</v>
      </c>
    </row>
    <row r="1947" spans="1:3" x14ac:dyDescent="0.4">
      <c r="B1947">
        <v>1.6</v>
      </c>
      <c r="C1947">
        <v>1.85</v>
      </c>
    </row>
    <row r="1948" spans="1:3" x14ac:dyDescent="0.4">
      <c r="B1948">
        <f>AVERAGE(B1924:B1947)</f>
        <v>1.5916666666666668</v>
      </c>
      <c r="C1948">
        <f>AVERAGE(C1924:C1947)</f>
        <v>1.7812499999999998</v>
      </c>
    </row>
    <row r="1950" spans="1:3" x14ac:dyDescent="0.4">
      <c r="A1950" t="s">
        <v>72</v>
      </c>
      <c r="B1950">
        <v>2.5</v>
      </c>
      <c r="C1950">
        <v>1.6</v>
      </c>
    </row>
    <row r="1951" spans="1:3" x14ac:dyDescent="0.4">
      <c r="B1951">
        <v>2.8</v>
      </c>
      <c r="C1951">
        <v>1.75</v>
      </c>
    </row>
    <row r="1952" spans="1:3" x14ac:dyDescent="0.4">
      <c r="B1952">
        <v>2.6</v>
      </c>
      <c r="C1952">
        <v>1.6</v>
      </c>
    </row>
    <row r="1953" spans="2:3" x14ac:dyDescent="0.4">
      <c r="B1953">
        <v>2.65</v>
      </c>
      <c r="C1953">
        <v>1.6</v>
      </c>
    </row>
    <row r="1954" spans="2:3" x14ac:dyDescent="0.4">
      <c r="B1954">
        <v>2.4</v>
      </c>
      <c r="C1954">
        <v>1.8</v>
      </c>
    </row>
    <row r="1955" spans="2:3" x14ac:dyDescent="0.4">
      <c r="B1955">
        <v>2.6</v>
      </c>
      <c r="C1955">
        <v>1.6</v>
      </c>
    </row>
    <row r="1956" spans="2:3" x14ac:dyDescent="0.4">
      <c r="B1956">
        <v>2.2000000000000002</v>
      </c>
      <c r="C1956">
        <v>1.4</v>
      </c>
    </row>
    <row r="1957" spans="2:3" x14ac:dyDescent="0.4">
      <c r="B1957">
        <v>2.0499999999999998</v>
      </c>
      <c r="C1957">
        <v>1.7</v>
      </c>
    </row>
    <row r="1958" spans="2:3" x14ac:dyDescent="0.4">
      <c r="B1958">
        <v>2.5</v>
      </c>
      <c r="C1958">
        <v>1.7</v>
      </c>
    </row>
    <row r="1959" spans="2:3" x14ac:dyDescent="0.4">
      <c r="B1959">
        <v>2.4</v>
      </c>
      <c r="C1959">
        <v>1.5</v>
      </c>
    </row>
    <row r="1960" spans="2:3" x14ac:dyDescent="0.4">
      <c r="B1960">
        <v>1.95</v>
      </c>
      <c r="C1960">
        <v>1.75</v>
      </c>
    </row>
    <row r="1961" spans="2:3" x14ac:dyDescent="0.4">
      <c r="B1961">
        <v>1.9</v>
      </c>
      <c r="C1961">
        <v>1.6</v>
      </c>
    </row>
    <row r="1962" spans="2:3" x14ac:dyDescent="0.4">
      <c r="B1962">
        <v>2.5</v>
      </c>
      <c r="C1962">
        <v>1.7</v>
      </c>
    </row>
    <row r="1963" spans="2:3" x14ac:dyDescent="0.4">
      <c r="B1963">
        <v>2.7</v>
      </c>
      <c r="C1963">
        <v>1.65</v>
      </c>
    </row>
    <row r="1964" spans="2:3" x14ac:dyDescent="0.4">
      <c r="B1964">
        <v>2.6</v>
      </c>
      <c r="C1964">
        <v>1.5</v>
      </c>
    </row>
    <row r="1965" spans="2:3" x14ac:dyDescent="0.4">
      <c r="B1965">
        <v>2.4</v>
      </c>
      <c r="C1965">
        <v>1.7</v>
      </c>
    </row>
    <row r="1966" spans="2:3" x14ac:dyDescent="0.4">
      <c r="B1966">
        <v>2.35</v>
      </c>
      <c r="C1966">
        <v>1.5</v>
      </c>
    </row>
    <row r="1967" spans="2:3" x14ac:dyDescent="0.4">
      <c r="B1967">
        <f>AVERAGE(B1950:B1966)</f>
        <v>2.4176470588235297</v>
      </c>
      <c r="C1967">
        <f>AVERAGE(C1950:C1966)</f>
        <v>1.6264705882352941</v>
      </c>
    </row>
    <row r="1969" spans="1:3" x14ac:dyDescent="0.4">
      <c r="A1969" t="s">
        <v>66</v>
      </c>
      <c r="B1969">
        <v>2.2999999999999998</v>
      </c>
      <c r="C1969">
        <v>2.1</v>
      </c>
    </row>
    <row r="1970" spans="1:3" x14ac:dyDescent="0.4">
      <c r="B1970">
        <v>1.8</v>
      </c>
      <c r="C1970">
        <v>1.95</v>
      </c>
    </row>
    <row r="1971" spans="1:3" x14ac:dyDescent="0.4">
      <c r="B1971">
        <v>2.1</v>
      </c>
      <c r="C1971">
        <v>2</v>
      </c>
    </row>
    <row r="1972" spans="1:3" x14ac:dyDescent="0.4">
      <c r="B1972">
        <v>2.2000000000000002</v>
      </c>
      <c r="C1972">
        <v>2.1</v>
      </c>
    </row>
    <row r="1973" spans="1:3" x14ac:dyDescent="0.4">
      <c r="B1973">
        <v>1.8</v>
      </c>
      <c r="C1973">
        <v>2</v>
      </c>
    </row>
    <row r="1974" spans="1:3" x14ac:dyDescent="0.4">
      <c r="B1974">
        <v>1.9</v>
      </c>
      <c r="C1974">
        <v>1.95</v>
      </c>
    </row>
    <row r="1975" spans="1:3" x14ac:dyDescent="0.4">
      <c r="B1975">
        <v>1.75</v>
      </c>
      <c r="C1975">
        <v>1.8</v>
      </c>
    </row>
    <row r="1976" spans="1:3" x14ac:dyDescent="0.4">
      <c r="B1976">
        <v>2.1</v>
      </c>
      <c r="C1976">
        <v>2.1</v>
      </c>
    </row>
    <row r="1977" spans="1:3" x14ac:dyDescent="0.4">
      <c r="B1977">
        <v>2</v>
      </c>
      <c r="C1977">
        <v>2.1</v>
      </c>
    </row>
    <row r="1978" spans="1:3" x14ac:dyDescent="0.4">
      <c r="B1978">
        <v>2</v>
      </c>
      <c r="C1978">
        <v>2.1</v>
      </c>
    </row>
    <row r="1979" spans="1:3" x14ac:dyDescent="0.4">
      <c r="B1979">
        <v>2.5</v>
      </c>
      <c r="C1979">
        <v>2.2000000000000002</v>
      </c>
    </row>
    <row r="1980" spans="1:3" x14ac:dyDescent="0.4">
      <c r="B1980">
        <v>1.7</v>
      </c>
      <c r="C1980">
        <v>2.1</v>
      </c>
    </row>
    <row r="1981" spans="1:3" x14ac:dyDescent="0.4">
      <c r="B1981">
        <v>1.7</v>
      </c>
      <c r="C1981">
        <v>2.0499999999999998</v>
      </c>
    </row>
    <row r="1982" spans="1:3" x14ac:dyDescent="0.4">
      <c r="B1982">
        <v>2.4</v>
      </c>
      <c r="C1982">
        <v>2.2999999999999998</v>
      </c>
    </row>
    <row r="1983" spans="1:3" x14ac:dyDescent="0.4">
      <c r="B1983">
        <v>1.8</v>
      </c>
      <c r="C1983">
        <v>1.9</v>
      </c>
    </row>
    <row r="1984" spans="1:3" x14ac:dyDescent="0.4">
      <c r="B1984">
        <v>2.2000000000000002</v>
      </c>
      <c r="C1984">
        <v>2.0499999999999998</v>
      </c>
    </row>
    <row r="1985" spans="1:3" x14ac:dyDescent="0.4">
      <c r="B1985">
        <v>1.85</v>
      </c>
      <c r="C1985">
        <v>2.15</v>
      </c>
    </row>
    <row r="1986" spans="1:3" x14ac:dyDescent="0.4">
      <c r="B1986">
        <v>2.1</v>
      </c>
      <c r="C1986">
        <v>2.1</v>
      </c>
    </row>
    <row r="1987" spans="1:3" x14ac:dyDescent="0.4">
      <c r="B1987">
        <v>2.1</v>
      </c>
      <c r="C1987">
        <v>2.15</v>
      </c>
    </row>
    <row r="1988" spans="1:3" x14ac:dyDescent="0.4">
      <c r="B1988">
        <v>1.65</v>
      </c>
      <c r="C1988">
        <v>1.8</v>
      </c>
    </row>
    <row r="1989" spans="1:3" x14ac:dyDescent="0.4">
      <c r="B1989">
        <v>1.6</v>
      </c>
      <c r="C1989">
        <v>1.4</v>
      </c>
    </row>
    <row r="1990" spans="1:3" x14ac:dyDescent="0.4">
      <c r="B1990">
        <v>2.1</v>
      </c>
      <c r="C1990">
        <v>2.1</v>
      </c>
    </row>
    <row r="1991" spans="1:3" x14ac:dyDescent="0.4">
      <c r="B1991">
        <f>AVERAGE(B1969:B1990)</f>
        <v>1.9840909090909093</v>
      </c>
      <c r="C1991">
        <f>AVERAGE(C1969:C1990)</f>
        <v>2.0227272727272729</v>
      </c>
    </row>
    <row r="1993" spans="1:3" x14ac:dyDescent="0.4">
      <c r="A1993" t="s">
        <v>116</v>
      </c>
      <c r="B1993">
        <v>2.2000000000000002</v>
      </c>
      <c r="C1993">
        <v>2.1</v>
      </c>
    </row>
    <row r="1994" spans="1:3" x14ac:dyDescent="0.4">
      <c r="B1994">
        <v>2.2999999999999998</v>
      </c>
      <c r="C1994">
        <v>2.2000000000000002</v>
      </c>
    </row>
    <row r="1995" spans="1:3" x14ac:dyDescent="0.4">
      <c r="B1995">
        <v>2.2999999999999998</v>
      </c>
      <c r="C1995">
        <v>2.2000000000000002</v>
      </c>
    </row>
    <row r="1996" spans="1:3" x14ac:dyDescent="0.4">
      <c r="B1996">
        <v>2.5499999999999998</v>
      </c>
      <c r="C1996">
        <v>2.1</v>
      </c>
    </row>
    <row r="1997" spans="1:3" x14ac:dyDescent="0.4">
      <c r="B1997">
        <f>AVERAGE(B1993:B1996)</f>
        <v>2.3374999999999999</v>
      </c>
      <c r="C1997">
        <f>AVERAGE(C1993:C1996)</f>
        <v>2.1500000000000004</v>
      </c>
    </row>
    <row r="1999" spans="1:3" x14ac:dyDescent="0.4">
      <c r="A1999" t="s">
        <v>65</v>
      </c>
      <c r="B1999">
        <v>1.9</v>
      </c>
      <c r="C1999">
        <v>1.5</v>
      </c>
    </row>
    <row r="2000" spans="1:3" x14ac:dyDescent="0.4">
      <c r="B2000">
        <v>1.6</v>
      </c>
      <c r="C2000">
        <v>1.85</v>
      </c>
    </row>
    <row r="2001" spans="2:3" x14ac:dyDescent="0.4">
      <c r="B2001">
        <v>1.75</v>
      </c>
      <c r="C2001">
        <v>1.9</v>
      </c>
    </row>
    <row r="2002" spans="2:3" x14ac:dyDescent="0.4">
      <c r="B2002">
        <v>1.55</v>
      </c>
      <c r="C2002">
        <v>1.85</v>
      </c>
    </row>
    <row r="2003" spans="2:3" x14ac:dyDescent="0.4">
      <c r="B2003">
        <v>1.65</v>
      </c>
      <c r="C2003">
        <v>1.7</v>
      </c>
    </row>
    <row r="2004" spans="2:3" x14ac:dyDescent="0.4">
      <c r="B2004">
        <v>1.7</v>
      </c>
      <c r="C2004">
        <v>1.8</v>
      </c>
    </row>
    <row r="2005" spans="2:3" x14ac:dyDescent="0.4">
      <c r="B2005">
        <v>1.8</v>
      </c>
      <c r="C2005">
        <v>1.8</v>
      </c>
    </row>
    <row r="2006" spans="2:3" x14ac:dyDescent="0.4">
      <c r="B2006">
        <v>1.5</v>
      </c>
      <c r="C2006">
        <v>1.75</v>
      </c>
    </row>
    <row r="2007" spans="2:3" x14ac:dyDescent="0.4">
      <c r="B2007">
        <v>1.6</v>
      </c>
      <c r="C2007">
        <v>1.65</v>
      </c>
    </row>
    <row r="2008" spans="2:3" x14ac:dyDescent="0.4">
      <c r="B2008">
        <v>1.75</v>
      </c>
      <c r="C2008">
        <v>1.9</v>
      </c>
    </row>
    <row r="2009" spans="2:3" x14ac:dyDescent="0.4">
      <c r="B2009">
        <v>1.7</v>
      </c>
      <c r="C2009">
        <v>1.8</v>
      </c>
    </row>
    <row r="2010" spans="2:3" x14ac:dyDescent="0.4">
      <c r="B2010">
        <v>2.0499999999999998</v>
      </c>
      <c r="C2010">
        <v>2</v>
      </c>
    </row>
    <row r="2011" spans="2:3" x14ac:dyDescent="0.4">
      <c r="B2011">
        <v>1.8</v>
      </c>
      <c r="C2011">
        <v>1.9</v>
      </c>
    </row>
    <row r="2012" spans="2:3" x14ac:dyDescent="0.4">
      <c r="B2012">
        <v>1.7</v>
      </c>
      <c r="C2012">
        <v>1.65</v>
      </c>
    </row>
    <row r="2013" spans="2:3" x14ac:dyDescent="0.4">
      <c r="B2013">
        <v>1.45</v>
      </c>
      <c r="C2013">
        <v>1.75</v>
      </c>
    </row>
    <row r="2014" spans="2:3" x14ac:dyDescent="0.4">
      <c r="B2014">
        <v>1.4</v>
      </c>
      <c r="C2014">
        <v>1.75</v>
      </c>
    </row>
    <row r="2015" spans="2:3" x14ac:dyDescent="0.4">
      <c r="B2015">
        <v>1.7</v>
      </c>
      <c r="C2015">
        <v>1.9</v>
      </c>
    </row>
    <row r="2016" spans="2:3" x14ac:dyDescent="0.4">
      <c r="B2016">
        <v>1.5</v>
      </c>
      <c r="C2016">
        <v>1.7</v>
      </c>
    </row>
    <row r="2017" spans="1:3" x14ac:dyDescent="0.4">
      <c r="B2017">
        <v>1.75</v>
      </c>
      <c r="C2017">
        <v>1.9</v>
      </c>
    </row>
    <row r="2018" spans="1:3" x14ac:dyDescent="0.4">
      <c r="B2018">
        <v>1.7</v>
      </c>
      <c r="C2018">
        <v>1.8</v>
      </c>
    </row>
    <row r="2019" spans="1:3" x14ac:dyDescent="0.4">
      <c r="B2019">
        <v>1.7</v>
      </c>
      <c r="C2019">
        <v>1.9</v>
      </c>
    </row>
    <row r="2020" spans="1:3" x14ac:dyDescent="0.4">
      <c r="B2020">
        <v>1.7</v>
      </c>
      <c r="C2020">
        <v>1.75</v>
      </c>
    </row>
    <row r="2021" spans="1:3" x14ac:dyDescent="0.4">
      <c r="B2021">
        <v>1.7</v>
      </c>
      <c r="C2021">
        <v>1.9</v>
      </c>
    </row>
    <row r="2022" spans="1:3" x14ac:dyDescent="0.4">
      <c r="B2022">
        <v>1.65</v>
      </c>
      <c r="C2022">
        <v>1.8</v>
      </c>
    </row>
    <row r="2023" spans="1:3" x14ac:dyDescent="0.4">
      <c r="B2023">
        <f>AVERAGE(B1999:B2022)</f>
        <v>1.6791666666666669</v>
      </c>
      <c r="C2023">
        <f>AVERAGE(C1999:C2022)</f>
        <v>1.7999999999999996</v>
      </c>
    </row>
    <row r="2025" spans="1:3" x14ac:dyDescent="0.4">
      <c r="A2025" t="s">
        <v>104</v>
      </c>
      <c r="B2025">
        <v>2.2999999999999998</v>
      </c>
      <c r="C2025">
        <v>2.1</v>
      </c>
    </row>
    <row r="2026" spans="1:3" x14ac:dyDescent="0.4">
      <c r="B2026">
        <v>2.7</v>
      </c>
      <c r="C2026">
        <v>2.2999999999999998</v>
      </c>
    </row>
    <row r="2027" spans="1:3" x14ac:dyDescent="0.4">
      <c r="B2027">
        <v>2.7</v>
      </c>
      <c r="C2027">
        <v>2.2000000000000002</v>
      </c>
    </row>
    <row r="2028" spans="1:3" x14ac:dyDescent="0.4">
      <c r="B2028">
        <v>2.6</v>
      </c>
      <c r="C2028">
        <v>1.7</v>
      </c>
    </row>
    <row r="2029" spans="1:3" x14ac:dyDescent="0.4">
      <c r="B2029">
        <v>2.8</v>
      </c>
      <c r="C2029">
        <v>2.1</v>
      </c>
    </row>
    <row r="2030" spans="1:3" x14ac:dyDescent="0.4">
      <c r="B2030">
        <v>2.8</v>
      </c>
      <c r="C2030">
        <v>2.15</v>
      </c>
    </row>
    <row r="2031" spans="1:3" x14ac:dyDescent="0.4">
      <c r="B2031">
        <v>3</v>
      </c>
      <c r="C2031">
        <v>2.2000000000000002</v>
      </c>
    </row>
    <row r="2032" spans="1:3" x14ac:dyDescent="0.4">
      <c r="B2032">
        <v>2.85</v>
      </c>
      <c r="C2032">
        <v>1.9</v>
      </c>
    </row>
    <row r="2033" spans="2:3" x14ac:dyDescent="0.4">
      <c r="B2033">
        <v>2.9</v>
      </c>
      <c r="C2033">
        <v>2.2000000000000002</v>
      </c>
    </row>
    <row r="2034" spans="2:3" x14ac:dyDescent="0.4">
      <c r="B2034">
        <v>3.2</v>
      </c>
      <c r="C2034">
        <v>2.4</v>
      </c>
    </row>
    <row r="2035" spans="2:3" x14ac:dyDescent="0.4">
      <c r="B2035">
        <v>2.9</v>
      </c>
      <c r="C2035">
        <v>2.1</v>
      </c>
    </row>
    <row r="2036" spans="2:3" x14ac:dyDescent="0.4">
      <c r="B2036">
        <v>2.8</v>
      </c>
      <c r="C2036">
        <v>2.1</v>
      </c>
    </row>
    <row r="2037" spans="2:3" x14ac:dyDescent="0.4">
      <c r="B2037">
        <v>2.8</v>
      </c>
      <c r="C2037">
        <v>2.1</v>
      </c>
    </row>
    <row r="2038" spans="2:3" x14ac:dyDescent="0.4">
      <c r="B2038">
        <v>3</v>
      </c>
      <c r="C2038">
        <v>2.2000000000000002</v>
      </c>
    </row>
    <row r="2039" spans="2:3" x14ac:dyDescent="0.4">
      <c r="B2039">
        <v>3.3</v>
      </c>
      <c r="C2039">
        <v>2.2999999999999998</v>
      </c>
    </row>
    <row r="2040" spans="2:3" x14ac:dyDescent="0.4">
      <c r="B2040">
        <v>2.8</v>
      </c>
      <c r="C2040">
        <v>2</v>
      </c>
    </row>
    <row r="2041" spans="2:3" x14ac:dyDescent="0.4">
      <c r="B2041">
        <v>2.6</v>
      </c>
      <c r="C2041">
        <v>2.15</v>
      </c>
    </row>
    <row r="2042" spans="2:3" x14ac:dyDescent="0.4">
      <c r="B2042">
        <f>AVERAGE(B2025:B2041)</f>
        <v>2.8264705882352934</v>
      </c>
      <c r="C2042">
        <f>AVERAGE(C2025:C2041)</f>
        <v>2.1294117647058819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Seed_weights</vt:lpstr>
      <vt:lpstr>Seed_characteristics_sample_inf</vt:lpstr>
      <vt:lpstr>Cone_measurements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Felicity Charles</dc:creator>
  <cp:lastModifiedBy>Felicity Charles</cp:lastModifiedBy>
  <dcterms:created xsi:type="dcterms:W3CDTF">2024-10-04T05:41:56Z</dcterms:created>
  <dcterms:modified xsi:type="dcterms:W3CDTF">2024-10-10T02:00:12Z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2024-10-04T05:46:39Z</vt:lpwstr>
  </property>
  <property fmtid="{D5CDD505-2E9C-101B-9397-08002B2CF9AE}" pid="4" name="MSIP_Label_0f488380-630a-4f55-a077-a19445e3f360_Method">
    <vt:lpwstr>Privileged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f65f356d-089e-46e1-895f-88038e57a9cb</vt:lpwstr>
  </property>
  <property fmtid="{D5CDD505-2E9C-101B-9397-08002B2CF9AE}" pid="8" name="MSIP_Label_0f488380-630a-4f55-a077-a19445e3f360_ContentBits">
    <vt:lpwstr>0</vt:lpwstr>
  </property>
</Properties>
</file>