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fchar1_uq_edu_au/Documents/Desktop/GitHub/Allocasuarina_germfire/00_Data/Full_experiment/"/>
    </mc:Choice>
  </mc:AlternateContent>
  <xr:revisionPtr revIDLastSave="593" documentId="8_{50DC56BB-355A-664F-9008-0D39404E4DC7}" xr6:coauthVersionLast="47" xr6:coauthVersionMax="47" xr10:uidLastSave="{E6726B72-B1AF-4994-8463-F39E6932FC63}"/>
  <bookViews>
    <workbookView xWindow="-110" yWindow="-110" windowWidth="19420" windowHeight="10300" xr2:uid="{D787752A-2EF4-4C1F-98F1-137D096492FA}"/>
  </bookViews>
  <sheets>
    <sheet name="Torulosa_lowfire_S3" sheetId="2" r:id="rId1"/>
    <sheet name="Torulosa_highfire_S3" sheetId="3" r:id="rId2"/>
    <sheet name="Littoralis_S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F3" i="1" s="1"/>
  <c r="I4" i="1"/>
  <c r="F4" i="1" s="1"/>
  <c r="I5" i="1"/>
  <c r="F5" i="1" s="1"/>
  <c r="I6" i="1"/>
  <c r="F6" i="1" s="1"/>
  <c r="I7" i="1"/>
  <c r="F7" i="1" s="1"/>
  <c r="I8" i="1"/>
  <c r="F8" i="1" s="1"/>
  <c r="I9" i="1"/>
  <c r="F9" i="1" s="1"/>
  <c r="I10" i="1"/>
  <c r="F10" i="1" s="1"/>
  <c r="I11" i="1"/>
  <c r="F11" i="1" s="1"/>
  <c r="I12" i="1"/>
  <c r="F12" i="1" s="1"/>
  <c r="I13" i="1"/>
  <c r="F13" i="1" s="1"/>
  <c r="I14" i="1"/>
  <c r="F14" i="1" s="1"/>
  <c r="I15" i="1"/>
  <c r="F15" i="1" s="1"/>
  <c r="I16" i="1"/>
  <c r="F16" i="1" s="1"/>
  <c r="I17" i="1"/>
  <c r="F17" i="1" s="1"/>
  <c r="I18" i="1"/>
  <c r="F18" i="1" s="1"/>
  <c r="I19" i="1"/>
  <c r="F19" i="1" s="1"/>
  <c r="I20" i="1"/>
  <c r="F20" i="1" s="1"/>
  <c r="I21" i="1"/>
  <c r="F21" i="1" s="1"/>
  <c r="I22" i="1"/>
  <c r="F22" i="1" s="1"/>
  <c r="I23" i="1"/>
  <c r="F23" i="1" s="1"/>
  <c r="I24" i="1"/>
  <c r="F24" i="1" s="1"/>
  <c r="I25" i="1"/>
  <c r="F25" i="1" s="1"/>
  <c r="I26" i="1"/>
  <c r="F26" i="1" s="1"/>
  <c r="I27" i="1"/>
  <c r="F27" i="1" s="1"/>
  <c r="I28" i="1"/>
  <c r="F28" i="1" s="1"/>
  <c r="I29" i="1"/>
  <c r="F29" i="1" s="1"/>
  <c r="I30" i="1"/>
  <c r="F30" i="1" s="1"/>
  <c r="I31" i="1"/>
  <c r="F31" i="1" s="1"/>
  <c r="I32" i="1"/>
  <c r="F32" i="1" s="1"/>
  <c r="I33" i="1"/>
  <c r="F33" i="1" s="1"/>
  <c r="I34" i="1"/>
  <c r="F34" i="1" s="1"/>
  <c r="I35" i="1"/>
  <c r="F35" i="1" s="1"/>
  <c r="I36" i="1"/>
  <c r="F36" i="1" s="1"/>
  <c r="I37" i="1"/>
  <c r="F37" i="1" s="1"/>
  <c r="I38" i="1"/>
  <c r="F38" i="1" s="1"/>
  <c r="I39" i="1"/>
  <c r="F39" i="1" s="1"/>
  <c r="I40" i="1"/>
  <c r="F40" i="1" s="1"/>
  <c r="I41" i="1"/>
  <c r="F41" i="1" s="1"/>
  <c r="I42" i="1"/>
  <c r="F42" i="1" s="1"/>
  <c r="I43" i="1"/>
  <c r="F43" i="1" s="1"/>
  <c r="I44" i="1"/>
  <c r="F44" i="1" s="1"/>
  <c r="I45" i="1"/>
  <c r="F45" i="1" s="1"/>
  <c r="I46" i="1"/>
  <c r="F46" i="1" s="1"/>
  <c r="I47" i="1"/>
  <c r="F47" i="1" s="1"/>
  <c r="I48" i="1"/>
  <c r="F48" i="1" s="1"/>
  <c r="I49" i="1"/>
  <c r="F49" i="1" s="1"/>
  <c r="I50" i="1"/>
  <c r="F50" i="1" s="1"/>
  <c r="I51" i="1"/>
  <c r="F51" i="1" s="1"/>
  <c r="I52" i="1"/>
  <c r="F52" i="1" s="1"/>
  <c r="I53" i="1"/>
  <c r="F53" i="1" s="1"/>
  <c r="I54" i="1"/>
  <c r="F54" i="1" s="1"/>
  <c r="I55" i="1"/>
  <c r="F55" i="1" s="1"/>
  <c r="I56" i="1"/>
  <c r="F56" i="1" s="1"/>
  <c r="I57" i="1"/>
  <c r="F57" i="1" s="1"/>
  <c r="I58" i="1"/>
  <c r="F58" i="1" s="1"/>
  <c r="I59" i="1"/>
  <c r="F59" i="1" s="1"/>
  <c r="I60" i="1"/>
  <c r="F60" i="1" s="1"/>
  <c r="I61" i="1"/>
  <c r="F61" i="1" s="1"/>
  <c r="I62" i="1"/>
  <c r="F62" i="1" s="1"/>
  <c r="I63" i="1"/>
  <c r="F63" i="1" s="1"/>
  <c r="I64" i="1"/>
  <c r="F64" i="1" s="1"/>
  <c r="I65" i="1"/>
  <c r="F65" i="1" s="1"/>
  <c r="I66" i="1"/>
  <c r="F66" i="1" s="1"/>
  <c r="I67" i="1"/>
  <c r="F67" i="1" s="1"/>
  <c r="I68" i="1"/>
  <c r="F68" i="1" s="1"/>
  <c r="I69" i="1"/>
  <c r="F69" i="1" s="1"/>
  <c r="I70" i="1"/>
  <c r="F70" i="1" s="1"/>
  <c r="I71" i="1"/>
  <c r="F71" i="1" s="1"/>
  <c r="I72" i="1"/>
  <c r="F72" i="1" s="1"/>
  <c r="I73" i="1"/>
  <c r="F73" i="1" s="1"/>
  <c r="I74" i="1"/>
  <c r="F74" i="1" s="1"/>
  <c r="I75" i="1"/>
  <c r="F75" i="1" s="1"/>
  <c r="I76" i="1"/>
  <c r="F76" i="1" s="1"/>
  <c r="I77" i="1"/>
  <c r="F77" i="1" s="1"/>
  <c r="I78" i="1"/>
  <c r="F78" i="1" s="1"/>
  <c r="I79" i="1"/>
  <c r="F79" i="1" s="1"/>
  <c r="I80" i="1"/>
  <c r="F80" i="1" s="1"/>
  <c r="I81" i="1"/>
  <c r="F81" i="1" s="1"/>
  <c r="I82" i="1"/>
  <c r="F82" i="1" s="1"/>
  <c r="I83" i="1"/>
  <c r="F83" i="1" s="1"/>
  <c r="I84" i="1"/>
  <c r="F84" i="1" s="1"/>
  <c r="I85" i="1"/>
  <c r="F85" i="1" s="1"/>
  <c r="I86" i="1"/>
  <c r="F86" i="1" s="1"/>
  <c r="I87" i="1"/>
  <c r="F87" i="1" s="1"/>
  <c r="I88" i="1"/>
  <c r="F88" i="1" s="1"/>
  <c r="I89" i="1"/>
  <c r="F89" i="1" s="1"/>
  <c r="I90" i="1"/>
  <c r="F90" i="1" s="1"/>
  <c r="I91" i="1"/>
  <c r="F91" i="1" s="1"/>
  <c r="I2" i="1"/>
  <c r="F2" i="1" s="1"/>
  <c r="I3" i="2"/>
  <c r="F3" i="2" s="1"/>
  <c r="I4" i="2"/>
  <c r="F4" i="2" s="1"/>
  <c r="I5" i="2"/>
  <c r="F5" i="2" s="1"/>
  <c r="I6" i="2"/>
  <c r="F6" i="2" s="1"/>
  <c r="I7" i="2"/>
  <c r="F7" i="2" s="1"/>
  <c r="I8" i="2"/>
  <c r="F8" i="2" s="1"/>
  <c r="I9" i="2"/>
  <c r="F9" i="2" s="1"/>
  <c r="I10" i="2"/>
  <c r="F10" i="2" s="1"/>
  <c r="I11" i="2"/>
  <c r="F11" i="2" s="1"/>
  <c r="I12" i="2"/>
  <c r="F12" i="2" s="1"/>
  <c r="I13" i="2"/>
  <c r="F13" i="2" s="1"/>
  <c r="I14" i="2"/>
  <c r="F14" i="2" s="1"/>
  <c r="I15" i="2"/>
  <c r="F15" i="2" s="1"/>
  <c r="I16" i="2"/>
  <c r="F16" i="2" s="1"/>
  <c r="I17" i="2"/>
  <c r="F17" i="2" s="1"/>
  <c r="I18" i="2"/>
  <c r="F18" i="2" s="1"/>
  <c r="I19" i="2"/>
  <c r="F19" i="2" s="1"/>
  <c r="I20" i="2"/>
  <c r="F20" i="2" s="1"/>
  <c r="I21" i="2"/>
  <c r="F21" i="2" s="1"/>
  <c r="I22" i="2"/>
  <c r="F22" i="2" s="1"/>
  <c r="I23" i="2"/>
  <c r="F23" i="2" s="1"/>
  <c r="I24" i="2"/>
  <c r="F24" i="2" s="1"/>
  <c r="I25" i="2"/>
  <c r="F25" i="2" s="1"/>
  <c r="I26" i="2"/>
  <c r="F26" i="2" s="1"/>
  <c r="I27" i="2"/>
  <c r="F27" i="2" s="1"/>
  <c r="I28" i="2"/>
  <c r="F28" i="2" s="1"/>
  <c r="I29" i="2"/>
  <c r="F29" i="2" s="1"/>
  <c r="I30" i="2"/>
  <c r="F30" i="2" s="1"/>
  <c r="I31" i="2"/>
  <c r="F31" i="2" s="1"/>
  <c r="I32" i="2"/>
  <c r="F32" i="2" s="1"/>
  <c r="I33" i="2"/>
  <c r="F33" i="2" s="1"/>
  <c r="I34" i="2"/>
  <c r="F34" i="2" s="1"/>
  <c r="I35" i="2"/>
  <c r="F35" i="2" s="1"/>
  <c r="I36" i="2"/>
  <c r="F36" i="2" s="1"/>
  <c r="I37" i="2"/>
  <c r="F37" i="2" s="1"/>
  <c r="I38" i="2"/>
  <c r="F38" i="2" s="1"/>
  <c r="I39" i="2"/>
  <c r="F39" i="2" s="1"/>
  <c r="I40" i="2"/>
  <c r="F40" i="2" s="1"/>
  <c r="I41" i="2"/>
  <c r="F41" i="2" s="1"/>
  <c r="I42" i="2"/>
  <c r="F42" i="2" s="1"/>
  <c r="I43" i="2"/>
  <c r="F43" i="2" s="1"/>
  <c r="I44" i="2"/>
  <c r="F44" i="2" s="1"/>
  <c r="I45" i="2"/>
  <c r="F45" i="2" s="1"/>
  <c r="I46" i="2"/>
  <c r="F46" i="2" s="1"/>
  <c r="I47" i="2"/>
  <c r="F47" i="2" s="1"/>
  <c r="I48" i="2"/>
  <c r="F48" i="2" s="1"/>
  <c r="I49" i="2"/>
  <c r="F49" i="2" s="1"/>
  <c r="I50" i="2"/>
  <c r="F50" i="2" s="1"/>
  <c r="I51" i="2"/>
  <c r="F51" i="2" s="1"/>
  <c r="I52" i="2"/>
  <c r="F52" i="2" s="1"/>
  <c r="I53" i="2"/>
  <c r="F53" i="2" s="1"/>
  <c r="I54" i="2"/>
  <c r="F54" i="2" s="1"/>
  <c r="I55" i="2"/>
  <c r="F55" i="2" s="1"/>
  <c r="I56" i="2"/>
  <c r="F56" i="2" s="1"/>
  <c r="I57" i="2"/>
  <c r="F57" i="2" s="1"/>
  <c r="I58" i="2"/>
  <c r="F58" i="2" s="1"/>
  <c r="I59" i="2"/>
  <c r="F59" i="2" s="1"/>
  <c r="I60" i="2"/>
  <c r="F60" i="2" s="1"/>
  <c r="I61" i="2"/>
  <c r="F61" i="2" s="1"/>
  <c r="I62" i="2"/>
  <c r="F62" i="2" s="1"/>
  <c r="I63" i="2"/>
  <c r="F63" i="2" s="1"/>
  <c r="I64" i="2"/>
  <c r="F64" i="2" s="1"/>
  <c r="I65" i="2"/>
  <c r="F65" i="2" s="1"/>
  <c r="I66" i="2"/>
  <c r="F66" i="2" s="1"/>
  <c r="I67" i="2"/>
  <c r="F67" i="2" s="1"/>
  <c r="I68" i="2"/>
  <c r="F68" i="2" s="1"/>
  <c r="I69" i="2"/>
  <c r="F69" i="2" s="1"/>
  <c r="I70" i="2"/>
  <c r="F70" i="2" s="1"/>
  <c r="I71" i="2"/>
  <c r="F71" i="2" s="1"/>
  <c r="I72" i="2"/>
  <c r="F72" i="2" s="1"/>
  <c r="I73" i="2"/>
  <c r="F73" i="2" s="1"/>
  <c r="I74" i="2"/>
  <c r="F74" i="2" s="1"/>
  <c r="I75" i="2"/>
  <c r="F75" i="2" s="1"/>
  <c r="I76" i="2"/>
  <c r="F76" i="2" s="1"/>
  <c r="I77" i="2"/>
  <c r="F77" i="2" s="1"/>
  <c r="I78" i="2"/>
  <c r="F78" i="2" s="1"/>
  <c r="I79" i="2"/>
  <c r="F79" i="2" s="1"/>
  <c r="I80" i="2"/>
  <c r="F80" i="2" s="1"/>
  <c r="I81" i="2"/>
  <c r="F81" i="2" s="1"/>
  <c r="I82" i="2"/>
  <c r="F82" i="2" s="1"/>
  <c r="I83" i="2"/>
  <c r="F83" i="2" s="1"/>
  <c r="I84" i="2"/>
  <c r="F84" i="2" s="1"/>
  <c r="I85" i="2"/>
  <c r="F85" i="2" s="1"/>
  <c r="I86" i="2"/>
  <c r="F86" i="2" s="1"/>
  <c r="I87" i="2"/>
  <c r="F87" i="2" s="1"/>
  <c r="I88" i="2"/>
  <c r="F88" i="2" s="1"/>
  <c r="I89" i="2"/>
  <c r="F89" i="2" s="1"/>
  <c r="I90" i="2"/>
  <c r="F90" i="2" s="1"/>
  <c r="I91" i="2"/>
  <c r="F91" i="2" s="1"/>
  <c r="I2" i="2"/>
  <c r="F2" i="2" s="1"/>
  <c r="H3" i="3"/>
  <c r="F3" i="3" s="1"/>
  <c r="H4" i="3"/>
  <c r="F4" i="3" s="1"/>
  <c r="H5" i="3"/>
  <c r="F5" i="3" s="1"/>
  <c r="H6" i="3"/>
  <c r="F6" i="3" s="1"/>
  <c r="H7" i="3"/>
  <c r="F7" i="3" s="1"/>
  <c r="H8" i="3"/>
  <c r="F8" i="3" s="1"/>
  <c r="H9" i="3"/>
  <c r="F9" i="3" s="1"/>
  <c r="H10" i="3"/>
  <c r="F10" i="3" s="1"/>
  <c r="H11" i="3"/>
  <c r="F11" i="3" s="1"/>
  <c r="H12" i="3"/>
  <c r="F12" i="3" s="1"/>
  <c r="H13" i="3"/>
  <c r="F13" i="3" s="1"/>
  <c r="H14" i="3"/>
  <c r="F14" i="3" s="1"/>
  <c r="H15" i="3"/>
  <c r="F15" i="3" s="1"/>
  <c r="H16" i="3"/>
  <c r="F16" i="3" s="1"/>
  <c r="H17" i="3"/>
  <c r="F17" i="3" s="1"/>
  <c r="H18" i="3"/>
  <c r="F18" i="3" s="1"/>
  <c r="H19" i="3"/>
  <c r="F19" i="3" s="1"/>
  <c r="H20" i="3"/>
  <c r="F20" i="3" s="1"/>
  <c r="H21" i="3"/>
  <c r="F21" i="3" s="1"/>
  <c r="H22" i="3"/>
  <c r="F22" i="3" s="1"/>
  <c r="H23" i="3"/>
  <c r="F23" i="3" s="1"/>
  <c r="H24" i="3"/>
  <c r="F24" i="3" s="1"/>
  <c r="H25" i="3"/>
  <c r="F25" i="3" s="1"/>
  <c r="H26" i="3"/>
  <c r="F26" i="3" s="1"/>
  <c r="H27" i="3"/>
  <c r="F27" i="3" s="1"/>
  <c r="H28" i="3"/>
  <c r="F28" i="3" s="1"/>
  <c r="H29" i="3"/>
  <c r="F29" i="3" s="1"/>
  <c r="H30" i="3"/>
  <c r="F30" i="3" s="1"/>
  <c r="H31" i="3"/>
  <c r="F31" i="3" s="1"/>
  <c r="H32" i="3"/>
  <c r="F32" i="3" s="1"/>
  <c r="H33" i="3"/>
  <c r="F33" i="3" s="1"/>
  <c r="H34" i="3"/>
  <c r="F34" i="3" s="1"/>
  <c r="H35" i="3"/>
  <c r="F35" i="3" s="1"/>
  <c r="H36" i="3"/>
  <c r="F36" i="3" s="1"/>
  <c r="H37" i="3"/>
  <c r="F37" i="3" s="1"/>
  <c r="H38" i="3"/>
  <c r="F38" i="3" s="1"/>
  <c r="H39" i="3"/>
  <c r="F39" i="3" s="1"/>
  <c r="H40" i="3"/>
  <c r="F40" i="3" s="1"/>
  <c r="H41" i="3"/>
  <c r="F41" i="3" s="1"/>
  <c r="H42" i="3"/>
  <c r="F42" i="3" s="1"/>
  <c r="H43" i="3"/>
  <c r="F43" i="3" s="1"/>
  <c r="H44" i="3"/>
  <c r="F44" i="3" s="1"/>
  <c r="H45" i="3"/>
  <c r="F45" i="3" s="1"/>
  <c r="H46" i="3"/>
  <c r="F46" i="3" s="1"/>
  <c r="H47" i="3"/>
  <c r="F47" i="3" s="1"/>
  <c r="H48" i="3"/>
  <c r="F48" i="3" s="1"/>
  <c r="H49" i="3"/>
  <c r="F49" i="3" s="1"/>
  <c r="H50" i="3"/>
  <c r="F50" i="3" s="1"/>
  <c r="H51" i="3"/>
  <c r="F51" i="3" s="1"/>
  <c r="H52" i="3"/>
  <c r="F52" i="3" s="1"/>
  <c r="H53" i="3"/>
  <c r="F53" i="3" s="1"/>
  <c r="H54" i="3"/>
  <c r="F54" i="3" s="1"/>
  <c r="H55" i="3"/>
  <c r="F55" i="3" s="1"/>
  <c r="H56" i="3"/>
  <c r="F56" i="3" s="1"/>
  <c r="H57" i="3"/>
  <c r="F57" i="3" s="1"/>
  <c r="H58" i="3"/>
  <c r="F58" i="3" s="1"/>
  <c r="H59" i="3"/>
  <c r="F59" i="3" s="1"/>
  <c r="H60" i="3"/>
  <c r="F60" i="3" s="1"/>
  <c r="H61" i="3"/>
  <c r="F61" i="3" s="1"/>
  <c r="H62" i="3"/>
  <c r="F62" i="3" s="1"/>
  <c r="H63" i="3"/>
  <c r="F63" i="3" s="1"/>
  <c r="H64" i="3"/>
  <c r="F64" i="3" s="1"/>
  <c r="H65" i="3"/>
  <c r="F65" i="3" s="1"/>
  <c r="H66" i="3"/>
  <c r="F66" i="3" s="1"/>
  <c r="H67" i="3"/>
  <c r="F67" i="3" s="1"/>
  <c r="H68" i="3"/>
  <c r="F68" i="3" s="1"/>
  <c r="H69" i="3"/>
  <c r="F69" i="3" s="1"/>
  <c r="H70" i="3"/>
  <c r="F70" i="3" s="1"/>
  <c r="H71" i="3"/>
  <c r="F71" i="3" s="1"/>
  <c r="H72" i="3"/>
  <c r="F72" i="3" s="1"/>
  <c r="H73" i="3"/>
  <c r="F73" i="3" s="1"/>
  <c r="H74" i="3"/>
  <c r="F74" i="3" s="1"/>
  <c r="H75" i="3"/>
  <c r="F75" i="3" s="1"/>
  <c r="H76" i="3"/>
  <c r="F76" i="3" s="1"/>
  <c r="H77" i="3"/>
  <c r="F77" i="3" s="1"/>
  <c r="H78" i="3"/>
  <c r="F78" i="3" s="1"/>
  <c r="H79" i="3"/>
  <c r="F79" i="3" s="1"/>
  <c r="H80" i="3"/>
  <c r="F80" i="3" s="1"/>
  <c r="H81" i="3"/>
  <c r="F81" i="3" s="1"/>
  <c r="H82" i="3"/>
  <c r="F82" i="3" s="1"/>
  <c r="H83" i="3"/>
  <c r="F83" i="3" s="1"/>
  <c r="H84" i="3"/>
  <c r="F84" i="3" s="1"/>
  <c r="H85" i="3"/>
  <c r="F85" i="3" s="1"/>
  <c r="H86" i="3"/>
  <c r="F86" i="3" s="1"/>
  <c r="H87" i="3"/>
  <c r="F87" i="3" s="1"/>
  <c r="H88" i="3"/>
  <c r="F88" i="3" s="1"/>
  <c r="H89" i="3"/>
  <c r="F89" i="3" s="1"/>
  <c r="H90" i="3"/>
  <c r="F90" i="3" s="1"/>
  <c r="H91" i="3"/>
  <c r="F91" i="3" s="1"/>
  <c r="H2" i="3"/>
  <c r="F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BD0B75-6003-4F49-B782-E4BB5CCA6844}" keepAlive="1" name="Query - Viability" description="Connection to the 'Viability' query in the workbook." type="5" refreshedVersion="8" background="1" saveData="1">
    <dbPr connection="Provider=Microsoft.Mashup.OleDb.1;Data Source=$Workbook$;Location=Viability;Extended Properties=&quot;&quot;" command="SELECT * FROM [Viability]"/>
  </connection>
</connections>
</file>

<file path=xl/sharedStrings.xml><?xml version="1.0" encoding="utf-8"?>
<sst xmlns="http://schemas.openxmlformats.org/spreadsheetml/2006/main" count="810" uniqueCount="175">
  <si>
    <t>Species</t>
  </si>
  <si>
    <t>Treatment</t>
  </si>
  <si>
    <t>littoralis</t>
  </si>
  <si>
    <t>Control</t>
  </si>
  <si>
    <t>Set</t>
  </si>
  <si>
    <t>80°C</t>
  </si>
  <si>
    <t>95°C</t>
  </si>
  <si>
    <t>Smoke</t>
  </si>
  <si>
    <t>80°C+smoke</t>
  </si>
  <si>
    <t>95°C+smoke</t>
  </si>
  <si>
    <t>WPS91</t>
  </si>
  <si>
    <t>WPS135</t>
  </si>
  <si>
    <t>WPS142</t>
  </si>
  <si>
    <t>WPS87</t>
  </si>
  <si>
    <t>WPS93</t>
  </si>
  <si>
    <t>WPS94</t>
  </si>
  <si>
    <t>WPS96</t>
  </si>
  <si>
    <t>WPS108</t>
  </si>
  <si>
    <t>WPS109</t>
  </si>
  <si>
    <t>WPS139</t>
  </si>
  <si>
    <t>WPS144</t>
  </si>
  <si>
    <t>WPS154</t>
  </si>
  <si>
    <t>WPS152</t>
  </si>
  <si>
    <t>WPS127</t>
  </si>
  <si>
    <t>WPS128</t>
  </si>
  <si>
    <t>WPS89</t>
  </si>
  <si>
    <t>WPS90</t>
  </si>
  <si>
    <t>WPS92</t>
  </si>
  <si>
    <t>WPS107</t>
  </si>
  <si>
    <t>WPS111</t>
  </si>
  <si>
    <t>WPS137</t>
  </si>
  <si>
    <t>WPS140</t>
  </si>
  <si>
    <t>WPS141</t>
  </si>
  <si>
    <t>WPS156</t>
  </si>
  <si>
    <t>WPS169</t>
  </si>
  <si>
    <t>WPS88</t>
  </si>
  <si>
    <t>WPS95</t>
  </si>
  <si>
    <t>WPS110</t>
  </si>
  <si>
    <t>WPS129</t>
  </si>
  <si>
    <t>WPS136</t>
  </si>
  <si>
    <t>WPS143</t>
  </si>
  <si>
    <t>WPS145</t>
  </si>
  <si>
    <t>WPS153</t>
  </si>
  <si>
    <t>WPS171</t>
  </si>
  <si>
    <t>WPS157</t>
  </si>
  <si>
    <t>WPS3</t>
  </si>
  <si>
    <t>WPS151</t>
  </si>
  <si>
    <t>torulosa_lowfire</t>
  </si>
  <si>
    <t>torulosa_highfire</t>
  </si>
  <si>
    <t>WPS57</t>
  </si>
  <si>
    <t>WPS62</t>
  </si>
  <si>
    <t>WPS63</t>
  </si>
  <si>
    <t>WPS64</t>
  </si>
  <si>
    <t>WPS65</t>
  </si>
  <si>
    <t>WPS84</t>
  </si>
  <si>
    <t>WPS122</t>
  </si>
  <si>
    <t>WPS130</t>
  </si>
  <si>
    <t>WPS150</t>
  </si>
  <si>
    <t>WPS170</t>
  </si>
  <si>
    <t>WPS172</t>
  </si>
  <si>
    <t>WPS174</t>
  </si>
  <si>
    <t>WPS196</t>
  </si>
  <si>
    <t>WPS197</t>
  </si>
  <si>
    <t>WPS201</t>
  </si>
  <si>
    <t>WPS60</t>
  </si>
  <si>
    <t>WPS78</t>
  </si>
  <si>
    <t>WPS83</t>
  </si>
  <si>
    <t>WPS113</t>
  </si>
  <si>
    <t>WPS146</t>
  </si>
  <si>
    <t>WPS147</t>
  </si>
  <si>
    <t>WPS187</t>
  </si>
  <si>
    <t>WPS195</t>
  </si>
  <si>
    <t>WPS58</t>
  </si>
  <si>
    <t>WPS75</t>
  </si>
  <si>
    <t>WPS82</t>
  </si>
  <si>
    <t>WPS123</t>
  </si>
  <si>
    <t>WPS138</t>
  </si>
  <si>
    <t>WPS149</t>
  </si>
  <si>
    <t>WPS168</t>
  </si>
  <si>
    <t>WPS175</t>
  </si>
  <si>
    <t>WPS192</t>
  </si>
  <si>
    <t>WPS59</t>
  </si>
  <si>
    <t>WPS61</t>
  </si>
  <si>
    <t>WPS73</t>
  </si>
  <si>
    <t>WPS77</t>
  </si>
  <si>
    <t>WPS112</t>
  </si>
  <si>
    <t>WPS148</t>
  </si>
  <si>
    <t>WPS202</t>
  </si>
  <si>
    <t>wps96</t>
  </si>
  <si>
    <t>WPS71</t>
  </si>
  <si>
    <t>WPS114</t>
  </si>
  <si>
    <t>WPS47</t>
  </si>
  <si>
    <t>WPS97</t>
  </si>
  <si>
    <t>WPS102</t>
  </si>
  <si>
    <t>WPS103</t>
  </si>
  <si>
    <t>WPS106</t>
  </si>
  <si>
    <t>WPS125</t>
  </si>
  <si>
    <t>WPS126</t>
  </si>
  <si>
    <t>WPS132</t>
  </si>
  <si>
    <t>WPS133</t>
  </si>
  <si>
    <t>WPS134</t>
  </si>
  <si>
    <t>WPS158</t>
  </si>
  <si>
    <t>WPS177</t>
  </si>
  <si>
    <t>WPS178</t>
  </si>
  <si>
    <t>WPS179</t>
  </si>
  <si>
    <t>WPS181</t>
  </si>
  <si>
    <t>WPS48</t>
  </si>
  <si>
    <t>WPS50</t>
  </si>
  <si>
    <t>WPS55</t>
  </si>
  <si>
    <t>WPS124</t>
  </si>
  <si>
    <t>WPS159</t>
  </si>
  <si>
    <t>WPS161</t>
  </si>
  <si>
    <t>WPS162</t>
  </si>
  <si>
    <t>WPS180</t>
  </si>
  <si>
    <t>WPS160</t>
  </si>
  <si>
    <t>WPS28</t>
  </si>
  <si>
    <t>WPS31</t>
  </si>
  <si>
    <t>WPS56</t>
  </si>
  <si>
    <t>WPS98</t>
  </si>
  <si>
    <t>WPS131</t>
  </si>
  <si>
    <t>WPS54</t>
  </si>
  <si>
    <t>NOTE WPS124 only has 15 seeds in each treatment this round due to lack of seeds</t>
  </si>
  <si>
    <t>X-ray_proportion_viable</t>
  </si>
  <si>
    <t>TTC_proportion_viable</t>
  </si>
  <si>
    <t>Total_seeds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</si>
  <si>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</si>
  <si>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</si>
  <si>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</si>
  <si>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</si>
  <si>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</si>
  <si>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</si>
  <si>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</si>
  <si>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</si>
  <si>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</si>
  <si>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</si>
  <si>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</si>
  <si>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</si>
  <si>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</si>
  <si>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</si>
  <si>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</si>
  <si>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</si>
  <si>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</si>
  <si>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</si>
  <si>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</si>
  <si>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</si>
  <si>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</si>
  <si>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</si>
  <si>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</si>
  <si>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</si>
  <si>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</si>
  <si>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</si>
  <si>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</si>
  <si>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</si>
  <si>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</si>
  <si>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</si>
  <si>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</si>
  <si>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</si>
  <si>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</si>
  <si>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</si>
  <si>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</si>
  <si>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</si>
  <si>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</si>
  <si>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</si>
  <si>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</si>
  <si>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</si>
  <si>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</si>
  <si>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</si>
  <si>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</si>
  <si>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</si>
  <si>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</si>
  <si>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Individual</t>
  </si>
  <si>
    <t>Total_germination</t>
  </si>
  <si>
    <t>Time_to_germ</t>
  </si>
  <si>
    <t>Time_to_finish</t>
  </si>
  <si>
    <t>TTC_num_viable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</si>
</sst>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1477-8FF1-4817-AABD-0828C8B7D2FB}">
  <dimension ref="A1:BD91"/>
  <sheetViews>
    <sheetView tabSelected="1" topLeftCell="E1" zoomScale="102" workbookViewId="0">
      <pane ySplit="1" topLeftCell="A77" activePane="bottomLeft" state="frozen"/>
      <selection activeCell="H1" sqref="H1"/>
      <selection pane="bottomLeft" activeCell="Q1" sqref="I1:Q1048576"/>
    </sheetView>
  </sheetViews>
  <sheetFormatPr defaultColWidth="8.81640625" defaultRowHeight="14.5" x14ac:dyDescent="0.35"/>
  <cols>
    <col min="1" max="1" width="11.1796875" bestFit="1" customWidth="1"/>
    <col min="3" max="3" width="13.453125" bestFit="1" customWidth="1"/>
    <col min="10" max="10" width="8.81640625" customWidth="1"/>
    <col min="12" max="16" width="8.81640625" customWidth="1"/>
  </cols>
  <sheetData>
    <row r="1" spans="1:56" s="1" customFormat="1" ht="58" x14ac:dyDescent="0.35">
      <c r="A1" s="1" t="s">
        <v>1</v>
      </c>
      <c r="B1" s="1" t="s">
        <v>4</v>
      </c>
      <c r="C1" s="1" t="s">
        <v>0</v>
      </c>
      <c r="D1" s="1" t="s">
        <v>170</v>
      </c>
      <c r="E1" s="3" t="s">
        <v>122</v>
      </c>
      <c r="F1" s="3" t="s">
        <v>123</v>
      </c>
      <c r="G1" s="3" t="s">
        <v>174</v>
      </c>
      <c r="H1" s="3" t="s">
        <v>124</v>
      </c>
      <c r="I1" s="3" t="s">
        <v>171</v>
      </c>
      <c r="J1" s="3" t="s">
        <v>172</v>
      </c>
      <c r="K1" s="3" t="s">
        <v>173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 s="1" t="s">
        <v>156</v>
      </c>
      <c r="AR1" s="1" t="s">
        <v>157</v>
      </c>
      <c r="AS1" s="1" t="s">
        <v>158</v>
      </c>
      <c r="AT1" s="1" t="s">
        <v>159</v>
      </c>
      <c r="AU1" s="1" t="s">
        <v>160</v>
      </c>
      <c r="AV1" s="1" t="s">
        <v>161</v>
      </c>
      <c r="AW1" s="1" t="s">
        <v>162</v>
      </c>
      <c r="AX1" s="1" t="s">
        <v>163</v>
      </c>
      <c r="AY1" s="1" t="s">
        <v>164</v>
      </c>
      <c r="AZ1" s="1" t="s">
        <v>165</v>
      </c>
      <c r="BA1" s="1" t="s">
        <v>166</v>
      </c>
      <c r="BB1" s="1" t="s">
        <v>167</v>
      </c>
      <c r="BC1" s="1" t="s">
        <v>168</v>
      </c>
      <c r="BD1" s="1" t="s">
        <v>169</v>
      </c>
    </row>
    <row r="2" spans="1:56" x14ac:dyDescent="0.35">
      <c r="A2" t="s">
        <v>3</v>
      </c>
      <c r="B2">
        <v>3</v>
      </c>
      <c r="C2" t="s">
        <v>47</v>
      </c>
      <c r="D2" t="s">
        <v>49</v>
      </c>
      <c r="E2" s="4">
        <v>0.86</v>
      </c>
      <c r="F2">
        <f>(G2+I2)/20</f>
        <v>0.8</v>
      </c>
      <c r="G2">
        <v>0</v>
      </c>
      <c r="H2">
        <v>20</v>
      </c>
      <c r="I2">
        <f>SUM(L2:AX2)</f>
        <v>16</v>
      </c>
      <c r="J2">
        <v>8</v>
      </c>
      <c r="K2">
        <v>10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14</v>
      </c>
      <c r="T2">
        <v>0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35">
      <c r="A3" t="s">
        <v>3</v>
      </c>
      <c r="B3">
        <v>3</v>
      </c>
      <c r="C3" t="s">
        <v>47</v>
      </c>
      <c r="D3" t="s">
        <v>50</v>
      </c>
      <c r="E3">
        <v>0.93</v>
      </c>
      <c r="F3">
        <f t="shared" ref="F3:F66" si="0">(G3+I3)/20</f>
        <v>0.95</v>
      </c>
      <c r="G3">
        <v>0</v>
      </c>
      <c r="H3">
        <v>20</v>
      </c>
      <c r="I3">
        <f t="shared" ref="I3:I66" si="1">SUM(L3:AX3)</f>
        <v>19</v>
      </c>
      <c r="J3">
        <v>6</v>
      </c>
      <c r="K3">
        <v>8</v>
      </c>
      <c r="L3">
        <v>0</v>
      </c>
      <c r="M3">
        <v>0</v>
      </c>
      <c r="N3">
        <v>0</v>
      </c>
      <c r="O3">
        <v>0</v>
      </c>
      <c r="P3">
        <v>0</v>
      </c>
      <c r="Q3">
        <v>11</v>
      </c>
      <c r="R3">
        <v>0</v>
      </c>
      <c r="S3">
        <v>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35">
      <c r="A4" t="s">
        <v>3</v>
      </c>
      <c r="B4">
        <v>3</v>
      </c>
      <c r="C4" t="s">
        <v>47</v>
      </c>
      <c r="D4" t="s">
        <v>51</v>
      </c>
      <c r="E4">
        <v>0.66</v>
      </c>
      <c r="F4">
        <f t="shared" si="0"/>
        <v>0.65</v>
      </c>
      <c r="G4">
        <v>0</v>
      </c>
      <c r="H4">
        <v>20</v>
      </c>
      <c r="I4">
        <f t="shared" si="1"/>
        <v>13</v>
      </c>
      <c r="J4">
        <v>6</v>
      </c>
      <c r="K4">
        <v>10</v>
      </c>
      <c r="L4">
        <v>0</v>
      </c>
      <c r="M4">
        <v>0</v>
      </c>
      <c r="N4">
        <v>0</v>
      </c>
      <c r="O4">
        <v>0</v>
      </c>
      <c r="P4">
        <v>0</v>
      </c>
      <c r="Q4">
        <v>6</v>
      </c>
      <c r="R4">
        <v>0</v>
      </c>
      <c r="S4">
        <v>6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5">
      <c r="A5" t="s">
        <v>3</v>
      </c>
      <c r="B5">
        <v>3</v>
      </c>
      <c r="C5" t="s">
        <v>47</v>
      </c>
      <c r="D5" t="s">
        <v>52</v>
      </c>
      <c r="E5">
        <v>0.41</v>
      </c>
      <c r="F5">
        <f t="shared" si="0"/>
        <v>0.35</v>
      </c>
      <c r="G5">
        <v>0</v>
      </c>
      <c r="H5">
        <v>20</v>
      </c>
      <c r="I5">
        <f t="shared" si="1"/>
        <v>7</v>
      </c>
      <c r="J5">
        <v>6</v>
      </c>
      <c r="K5">
        <v>8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5">
      <c r="A6" t="s">
        <v>3</v>
      </c>
      <c r="B6">
        <v>3</v>
      </c>
      <c r="C6" t="s">
        <v>47</v>
      </c>
      <c r="D6" t="s">
        <v>53</v>
      </c>
      <c r="E6">
        <v>0.85</v>
      </c>
      <c r="F6">
        <f t="shared" si="0"/>
        <v>0.6</v>
      </c>
      <c r="G6">
        <v>0</v>
      </c>
      <c r="H6">
        <v>20</v>
      </c>
      <c r="I6">
        <f t="shared" si="1"/>
        <v>12</v>
      </c>
      <c r="J6">
        <v>6</v>
      </c>
      <c r="K6">
        <v>10</v>
      </c>
      <c r="L6">
        <v>0</v>
      </c>
      <c r="M6">
        <v>0</v>
      </c>
      <c r="N6">
        <v>0</v>
      </c>
      <c r="O6">
        <v>0</v>
      </c>
      <c r="P6">
        <v>0</v>
      </c>
      <c r="Q6">
        <v>4</v>
      </c>
      <c r="R6">
        <v>0</v>
      </c>
      <c r="S6">
        <v>6</v>
      </c>
      <c r="T6">
        <v>0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35">
      <c r="A7" t="s">
        <v>3</v>
      </c>
      <c r="B7">
        <v>3</v>
      </c>
      <c r="C7" t="s">
        <v>47</v>
      </c>
      <c r="D7" t="s">
        <v>54</v>
      </c>
      <c r="E7">
        <v>0.89</v>
      </c>
      <c r="F7">
        <f t="shared" si="0"/>
        <v>0.85</v>
      </c>
      <c r="G7">
        <v>0</v>
      </c>
      <c r="H7">
        <v>20</v>
      </c>
      <c r="I7">
        <f t="shared" si="1"/>
        <v>17</v>
      </c>
      <c r="J7">
        <v>6</v>
      </c>
      <c r="K7">
        <v>8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15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s="7" customFormat="1" x14ac:dyDescent="0.35">
      <c r="A8" t="s">
        <v>3</v>
      </c>
      <c r="B8">
        <v>3</v>
      </c>
      <c r="C8" t="s">
        <v>47</v>
      </c>
      <c r="D8" t="s">
        <v>55</v>
      </c>
      <c r="E8">
        <v>0.8</v>
      </c>
      <c r="F8">
        <f t="shared" si="0"/>
        <v>1</v>
      </c>
      <c r="G8">
        <v>0</v>
      </c>
      <c r="H8">
        <v>20</v>
      </c>
      <c r="I8">
        <f t="shared" si="1"/>
        <v>20</v>
      </c>
      <c r="J8">
        <v>8</v>
      </c>
      <c r="K8">
        <v>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5">
      <c r="A9" t="s">
        <v>3</v>
      </c>
      <c r="B9">
        <v>3</v>
      </c>
      <c r="C9" t="s">
        <v>47</v>
      </c>
      <c r="D9" t="s">
        <v>56</v>
      </c>
      <c r="E9">
        <v>0.89</v>
      </c>
      <c r="F9">
        <f t="shared" si="0"/>
        <v>0.8</v>
      </c>
      <c r="G9">
        <v>0</v>
      </c>
      <c r="H9">
        <v>20</v>
      </c>
      <c r="I9">
        <f t="shared" si="1"/>
        <v>16</v>
      </c>
      <c r="J9">
        <v>6</v>
      </c>
      <c r="K9">
        <v>8</v>
      </c>
      <c r="L9">
        <v>0</v>
      </c>
      <c r="M9">
        <v>0</v>
      </c>
      <c r="N9">
        <v>0</v>
      </c>
      <c r="O9">
        <v>0</v>
      </c>
      <c r="P9">
        <v>0</v>
      </c>
      <c r="Q9">
        <v>5</v>
      </c>
      <c r="R9">
        <v>0</v>
      </c>
      <c r="S9">
        <v>11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35">
      <c r="A10" t="s">
        <v>3</v>
      </c>
      <c r="B10">
        <v>3</v>
      </c>
      <c r="C10" t="s">
        <v>47</v>
      </c>
      <c r="D10" t="s">
        <v>57</v>
      </c>
      <c r="E10">
        <v>0.9</v>
      </c>
      <c r="F10">
        <f t="shared" si="0"/>
        <v>0.75</v>
      </c>
      <c r="G10">
        <v>0</v>
      </c>
      <c r="H10">
        <v>20</v>
      </c>
      <c r="I10">
        <f t="shared" si="1"/>
        <v>15</v>
      </c>
      <c r="J10">
        <v>6</v>
      </c>
      <c r="K10">
        <v>27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10</v>
      </c>
      <c r="T10">
        <v>0</v>
      </c>
      <c r="U10">
        <v>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35">
      <c r="A11" t="s">
        <v>3</v>
      </c>
      <c r="B11">
        <v>3</v>
      </c>
      <c r="C11" t="s">
        <v>47</v>
      </c>
      <c r="D11" t="s">
        <v>58</v>
      </c>
      <c r="E11">
        <v>0.68</v>
      </c>
      <c r="F11">
        <f t="shared" si="0"/>
        <v>0.6</v>
      </c>
      <c r="G11">
        <v>0</v>
      </c>
      <c r="H11">
        <v>20</v>
      </c>
      <c r="I11">
        <f t="shared" si="1"/>
        <v>12</v>
      </c>
      <c r="J11">
        <v>8</v>
      </c>
      <c r="K11">
        <v>10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6</v>
      </c>
      <c r="T11">
        <v>0</v>
      </c>
      <c r="U11">
        <v>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35">
      <c r="A12" t="s">
        <v>3</v>
      </c>
      <c r="B12">
        <v>3</v>
      </c>
      <c r="C12" t="s">
        <v>47</v>
      </c>
      <c r="D12" t="s">
        <v>59</v>
      </c>
      <c r="E12">
        <v>0.91</v>
      </c>
      <c r="F12">
        <f t="shared" si="0"/>
        <v>0.75</v>
      </c>
      <c r="G12">
        <v>0</v>
      </c>
      <c r="H12">
        <v>20</v>
      </c>
      <c r="I12">
        <f t="shared" si="1"/>
        <v>15</v>
      </c>
      <c r="J12">
        <v>6</v>
      </c>
      <c r="K12">
        <v>10</v>
      </c>
      <c r="L12">
        <v>0</v>
      </c>
      <c r="M12">
        <v>0</v>
      </c>
      <c r="N12">
        <v>0</v>
      </c>
      <c r="O12">
        <v>0</v>
      </c>
      <c r="P12">
        <v>0</v>
      </c>
      <c r="Q12">
        <v>3</v>
      </c>
      <c r="R12">
        <v>0</v>
      </c>
      <c r="S12">
        <v>9</v>
      </c>
      <c r="T12">
        <v>0</v>
      </c>
      <c r="U12">
        <v>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s="7" customFormat="1" x14ac:dyDescent="0.35">
      <c r="A13" t="s">
        <v>3</v>
      </c>
      <c r="B13">
        <v>3</v>
      </c>
      <c r="C13" t="s">
        <v>47</v>
      </c>
      <c r="D13" t="s">
        <v>60</v>
      </c>
      <c r="E13">
        <v>0.97</v>
      </c>
      <c r="F13">
        <f t="shared" si="0"/>
        <v>1</v>
      </c>
      <c r="G13">
        <v>0</v>
      </c>
      <c r="H13">
        <v>20</v>
      </c>
      <c r="I13">
        <f t="shared" si="1"/>
        <v>20</v>
      </c>
      <c r="J13">
        <v>6</v>
      </c>
      <c r="K13">
        <v>10</v>
      </c>
      <c r="L13">
        <v>0</v>
      </c>
      <c r="M13">
        <v>0</v>
      </c>
      <c r="N13">
        <v>0</v>
      </c>
      <c r="O13">
        <v>0</v>
      </c>
      <c r="P13">
        <v>0</v>
      </c>
      <c r="Q13">
        <v>7</v>
      </c>
      <c r="R13">
        <v>0</v>
      </c>
      <c r="S13">
        <v>11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35">
      <c r="A14" t="s">
        <v>3</v>
      </c>
      <c r="B14">
        <v>3</v>
      </c>
      <c r="C14" t="s">
        <v>47</v>
      </c>
      <c r="D14" t="s">
        <v>61</v>
      </c>
      <c r="E14">
        <v>0.4</v>
      </c>
      <c r="F14">
        <f t="shared" si="0"/>
        <v>0.15</v>
      </c>
      <c r="G14">
        <v>0</v>
      </c>
      <c r="H14">
        <v>20</v>
      </c>
      <c r="I14">
        <f t="shared" si="1"/>
        <v>3</v>
      </c>
      <c r="J14">
        <v>8</v>
      </c>
      <c r="K14">
        <v>10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35">
      <c r="A15" t="s">
        <v>3</v>
      </c>
      <c r="B15">
        <v>3</v>
      </c>
      <c r="C15" t="s">
        <v>47</v>
      </c>
      <c r="D15" t="s">
        <v>62</v>
      </c>
      <c r="E15">
        <v>0.77</v>
      </c>
      <c r="F15">
        <f t="shared" si="0"/>
        <v>0.9</v>
      </c>
      <c r="G15">
        <v>0</v>
      </c>
      <c r="H15">
        <v>20</v>
      </c>
      <c r="I15">
        <f t="shared" si="1"/>
        <v>18</v>
      </c>
      <c r="J15">
        <v>6</v>
      </c>
      <c r="K15">
        <v>8</v>
      </c>
      <c r="L15">
        <v>0</v>
      </c>
      <c r="M15">
        <v>0</v>
      </c>
      <c r="N15">
        <v>0</v>
      </c>
      <c r="O15">
        <v>0</v>
      </c>
      <c r="P15">
        <v>0</v>
      </c>
      <c r="Q15">
        <v>8</v>
      </c>
      <c r="R15">
        <v>0</v>
      </c>
      <c r="S15">
        <v>10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35">
      <c r="A16" t="s">
        <v>3</v>
      </c>
      <c r="B16">
        <v>3</v>
      </c>
      <c r="C16" t="s">
        <v>47</v>
      </c>
      <c r="D16" t="s">
        <v>63</v>
      </c>
      <c r="E16" s="5">
        <v>0.33</v>
      </c>
      <c r="F16">
        <f t="shared" si="0"/>
        <v>0</v>
      </c>
      <c r="G16">
        <v>0</v>
      </c>
      <c r="H16">
        <v>20</v>
      </c>
      <c r="I16">
        <f t="shared" si="1"/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 x14ac:dyDescent="0.35">
      <c r="A17" t="s">
        <v>5</v>
      </c>
      <c r="B17">
        <v>3</v>
      </c>
      <c r="C17" t="s">
        <v>47</v>
      </c>
      <c r="D17" t="s">
        <v>49</v>
      </c>
      <c r="E17">
        <v>0.86</v>
      </c>
      <c r="F17">
        <f t="shared" si="0"/>
        <v>0.75</v>
      </c>
      <c r="G17">
        <v>0</v>
      </c>
      <c r="H17">
        <v>20</v>
      </c>
      <c r="I17">
        <f t="shared" si="1"/>
        <v>15</v>
      </c>
      <c r="J17">
        <v>6</v>
      </c>
      <c r="K17">
        <v>10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11</v>
      </c>
      <c r="T17">
        <v>0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s="7" customFormat="1" x14ac:dyDescent="0.35">
      <c r="A18" t="s">
        <v>5</v>
      </c>
      <c r="B18">
        <v>3</v>
      </c>
      <c r="C18" t="s">
        <v>47</v>
      </c>
      <c r="D18" t="s">
        <v>64</v>
      </c>
      <c r="E18">
        <v>0.93</v>
      </c>
      <c r="F18">
        <f t="shared" si="0"/>
        <v>1</v>
      </c>
      <c r="G18">
        <v>0</v>
      </c>
      <c r="H18">
        <v>20</v>
      </c>
      <c r="I18">
        <f t="shared" si="1"/>
        <v>20</v>
      </c>
      <c r="J18">
        <v>6</v>
      </c>
      <c r="K18">
        <v>10</v>
      </c>
      <c r="L18">
        <v>0</v>
      </c>
      <c r="M18">
        <v>0</v>
      </c>
      <c r="N18">
        <v>0</v>
      </c>
      <c r="O18">
        <v>0</v>
      </c>
      <c r="P18">
        <v>0</v>
      </c>
      <c r="Q18">
        <v>5</v>
      </c>
      <c r="R18">
        <v>0</v>
      </c>
      <c r="S18">
        <v>13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35">
      <c r="A19" t="s">
        <v>5</v>
      </c>
      <c r="B19">
        <v>3</v>
      </c>
      <c r="C19" t="s">
        <v>47</v>
      </c>
      <c r="D19" t="s">
        <v>53</v>
      </c>
      <c r="E19">
        <v>0.85</v>
      </c>
      <c r="F19">
        <f t="shared" si="0"/>
        <v>0.6</v>
      </c>
      <c r="G19">
        <v>0</v>
      </c>
      <c r="H19">
        <v>20</v>
      </c>
      <c r="I19">
        <f t="shared" si="1"/>
        <v>12</v>
      </c>
      <c r="J19">
        <v>8</v>
      </c>
      <c r="K19">
        <v>15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35">
      <c r="A20" t="s">
        <v>5</v>
      </c>
      <c r="B20">
        <v>3</v>
      </c>
      <c r="C20" t="s">
        <v>47</v>
      </c>
      <c r="D20" t="s">
        <v>89</v>
      </c>
      <c r="E20">
        <v>0.87</v>
      </c>
      <c r="F20">
        <f t="shared" si="0"/>
        <v>0.85</v>
      </c>
      <c r="G20">
        <v>0</v>
      </c>
      <c r="H20">
        <v>20</v>
      </c>
      <c r="I20">
        <f t="shared" si="1"/>
        <v>17</v>
      </c>
      <c r="J20">
        <v>8</v>
      </c>
      <c r="K20">
        <v>15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35">
      <c r="A21" t="s">
        <v>5</v>
      </c>
      <c r="B21">
        <v>3</v>
      </c>
      <c r="C21" t="s">
        <v>47</v>
      </c>
      <c r="D21" t="s">
        <v>65</v>
      </c>
      <c r="E21">
        <v>0.83</v>
      </c>
      <c r="F21">
        <f t="shared" si="0"/>
        <v>0.9</v>
      </c>
      <c r="G21">
        <v>0</v>
      </c>
      <c r="H21">
        <v>20</v>
      </c>
      <c r="I21">
        <f t="shared" si="1"/>
        <v>18</v>
      </c>
      <c r="J21">
        <v>6</v>
      </c>
      <c r="K21">
        <v>15</v>
      </c>
      <c r="L21">
        <v>0</v>
      </c>
      <c r="M21">
        <v>0</v>
      </c>
      <c r="N21">
        <v>0</v>
      </c>
      <c r="O21">
        <v>0</v>
      </c>
      <c r="P21">
        <v>0</v>
      </c>
      <c r="Q21">
        <v>6</v>
      </c>
      <c r="R21">
        <v>0</v>
      </c>
      <c r="S21">
        <v>10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35">
      <c r="A22" t="s">
        <v>5</v>
      </c>
      <c r="B22">
        <v>3</v>
      </c>
      <c r="C22" t="s">
        <v>47</v>
      </c>
      <c r="D22" t="s">
        <v>66</v>
      </c>
      <c r="E22">
        <v>0.62</v>
      </c>
      <c r="F22">
        <f t="shared" si="0"/>
        <v>0.45</v>
      </c>
      <c r="G22">
        <v>0</v>
      </c>
      <c r="H22">
        <v>20</v>
      </c>
      <c r="I22">
        <f t="shared" si="1"/>
        <v>9</v>
      </c>
      <c r="J22">
        <v>6</v>
      </c>
      <c r="K22">
        <v>8</v>
      </c>
      <c r="L22">
        <v>0</v>
      </c>
      <c r="M22">
        <v>0</v>
      </c>
      <c r="N22">
        <v>0</v>
      </c>
      <c r="O22">
        <v>0</v>
      </c>
      <c r="P22">
        <v>0</v>
      </c>
      <c r="Q22">
        <v>3</v>
      </c>
      <c r="R22">
        <v>0</v>
      </c>
      <c r="S22">
        <v>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 x14ac:dyDescent="0.35">
      <c r="A23" t="s">
        <v>5</v>
      </c>
      <c r="B23">
        <v>3</v>
      </c>
      <c r="C23" t="s">
        <v>47</v>
      </c>
      <c r="D23" t="s">
        <v>54</v>
      </c>
      <c r="E23">
        <v>0.89</v>
      </c>
      <c r="F23">
        <f t="shared" si="0"/>
        <v>0.95</v>
      </c>
      <c r="G23">
        <v>0</v>
      </c>
      <c r="H23">
        <v>20</v>
      </c>
      <c r="I23">
        <f t="shared" si="1"/>
        <v>19</v>
      </c>
      <c r="J23">
        <v>6</v>
      </c>
      <c r="K23">
        <v>10</v>
      </c>
      <c r="L23">
        <v>0</v>
      </c>
      <c r="M23">
        <v>0</v>
      </c>
      <c r="N23">
        <v>0</v>
      </c>
      <c r="O23">
        <v>0</v>
      </c>
      <c r="P23">
        <v>0</v>
      </c>
      <c r="Q23">
        <v>8</v>
      </c>
      <c r="R23">
        <v>0</v>
      </c>
      <c r="S23">
        <v>10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35">
      <c r="A24" t="s">
        <v>5</v>
      </c>
      <c r="B24">
        <v>3</v>
      </c>
      <c r="C24" t="s">
        <v>47</v>
      </c>
      <c r="D24" t="s">
        <v>67</v>
      </c>
      <c r="E24">
        <v>0.86</v>
      </c>
      <c r="F24">
        <f t="shared" si="0"/>
        <v>0.7</v>
      </c>
      <c r="G24">
        <v>0</v>
      </c>
      <c r="H24">
        <v>20</v>
      </c>
      <c r="I24">
        <f t="shared" si="1"/>
        <v>14</v>
      </c>
      <c r="J24">
        <v>6</v>
      </c>
      <c r="K24">
        <v>8</v>
      </c>
      <c r="L24">
        <v>0</v>
      </c>
      <c r="M24">
        <v>0</v>
      </c>
      <c r="N24">
        <v>0</v>
      </c>
      <c r="O24">
        <v>0</v>
      </c>
      <c r="P24">
        <v>0</v>
      </c>
      <c r="Q24">
        <v>12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35">
      <c r="A25" t="s">
        <v>5</v>
      </c>
      <c r="B25">
        <v>3</v>
      </c>
      <c r="C25" t="s">
        <v>47</v>
      </c>
      <c r="D25" t="s">
        <v>56</v>
      </c>
      <c r="E25">
        <v>0.89</v>
      </c>
      <c r="F25">
        <f t="shared" si="0"/>
        <v>0.85</v>
      </c>
      <c r="G25">
        <v>0</v>
      </c>
      <c r="H25">
        <v>20</v>
      </c>
      <c r="I25">
        <f t="shared" si="1"/>
        <v>17</v>
      </c>
      <c r="J25">
        <v>6</v>
      </c>
      <c r="K25">
        <v>8</v>
      </c>
      <c r="L25">
        <v>0</v>
      </c>
      <c r="M25">
        <v>0</v>
      </c>
      <c r="N25">
        <v>0</v>
      </c>
      <c r="O25">
        <v>0</v>
      </c>
      <c r="P25">
        <v>0</v>
      </c>
      <c r="Q25">
        <v>13</v>
      </c>
      <c r="R25">
        <v>0</v>
      </c>
      <c r="S25">
        <v>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35">
      <c r="A26" t="s">
        <v>5</v>
      </c>
      <c r="B26">
        <v>3</v>
      </c>
      <c r="C26" t="s">
        <v>47</v>
      </c>
      <c r="D26" t="s">
        <v>68</v>
      </c>
      <c r="E26">
        <v>0.85</v>
      </c>
      <c r="F26">
        <f t="shared" si="0"/>
        <v>0.65</v>
      </c>
      <c r="G26">
        <v>0</v>
      </c>
      <c r="H26">
        <v>20</v>
      </c>
      <c r="I26">
        <f t="shared" si="1"/>
        <v>13</v>
      </c>
      <c r="J26">
        <v>6</v>
      </c>
      <c r="K26">
        <v>10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11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35">
      <c r="A27" t="s">
        <v>5</v>
      </c>
      <c r="B27">
        <v>3</v>
      </c>
      <c r="C27" t="s">
        <v>47</v>
      </c>
      <c r="D27" t="s">
        <v>69</v>
      </c>
      <c r="E27">
        <v>0.82</v>
      </c>
      <c r="F27">
        <f t="shared" si="0"/>
        <v>0.95</v>
      </c>
      <c r="G27">
        <v>0</v>
      </c>
      <c r="H27">
        <v>20</v>
      </c>
      <c r="I27">
        <f t="shared" si="1"/>
        <v>19</v>
      </c>
      <c r="J27">
        <v>6</v>
      </c>
      <c r="K27">
        <v>20</v>
      </c>
      <c r="L27">
        <v>0</v>
      </c>
      <c r="M27">
        <v>0</v>
      </c>
      <c r="N27">
        <v>0</v>
      </c>
      <c r="O27">
        <v>0</v>
      </c>
      <c r="P27">
        <v>0</v>
      </c>
      <c r="Q27">
        <v>3</v>
      </c>
      <c r="R27">
        <v>0</v>
      </c>
      <c r="S27">
        <v>14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35">
      <c r="A28" t="s">
        <v>5</v>
      </c>
      <c r="B28">
        <v>3</v>
      </c>
      <c r="C28" t="s">
        <v>47</v>
      </c>
      <c r="D28" t="s">
        <v>57</v>
      </c>
      <c r="E28">
        <v>0.9</v>
      </c>
      <c r="F28">
        <f t="shared" si="0"/>
        <v>0.9</v>
      </c>
      <c r="G28">
        <v>0</v>
      </c>
      <c r="H28">
        <v>20</v>
      </c>
      <c r="I28">
        <f t="shared" si="1"/>
        <v>18</v>
      </c>
      <c r="J28">
        <v>6</v>
      </c>
      <c r="K28">
        <v>10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13</v>
      </c>
      <c r="T28">
        <v>0</v>
      </c>
      <c r="U28">
        <v>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35">
      <c r="A29" t="s">
        <v>5</v>
      </c>
      <c r="B29">
        <v>3</v>
      </c>
      <c r="C29" t="s">
        <v>47</v>
      </c>
      <c r="D29" t="s">
        <v>70</v>
      </c>
      <c r="E29">
        <v>0.94</v>
      </c>
      <c r="F29">
        <f t="shared" si="0"/>
        <v>0.8</v>
      </c>
      <c r="G29">
        <v>0</v>
      </c>
      <c r="H29">
        <v>20</v>
      </c>
      <c r="I29">
        <f t="shared" si="1"/>
        <v>16</v>
      </c>
      <c r="J29">
        <v>6</v>
      </c>
      <c r="K29">
        <v>8</v>
      </c>
      <c r="L29">
        <v>0</v>
      </c>
      <c r="M29">
        <v>0</v>
      </c>
      <c r="N29">
        <v>0</v>
      </c>
      <c r="O29">
        <v>0</v>
      </c>
      <c r="P29">
        <v>0</v>
      </c>
      <c r="Q29">
        <v>12</v>
      </c>
      <c r="R29">
        <v>0</v>
      </c>
      <c r="S29">
        <v>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s="7" customFormat="1" x14ac:dyDescent="0.35">
      <c r="A30" t="s">
        <v>5</v>
      </c>
      <c r="B30">
        <v>3</v>
      </c>
      <c r="C30" t="s">
        <v>47</v>
      </c>
      <c r="D30" t="s">
        <v>71</v>
      </c>
      <c r="E30">
        <v>0.93</v>
      </c>
      <c r="F30">
        <f t="shared" si="0"/>
        <v>1</v>
      </c>
      <c r="G30">
        <v>0</v>
      </c>
      <c r="H30">
        <v>20</v>
      </c>
      <c r="I30">
        <f t="shared" si="1"/>
        <v>20</v>
      </c>
      <c r="J30">
        <v>6</v>
      </c>
      <c r="K30">
        <v>15</v>
      </c>
      <c r="L30">
        <v>0</v>
      </c>
      <c r="M30">
        <v>0</v>
      </c>
      <c r="N30">
        <v>0</v>
      </c>
      <c r="O30">
        <v>0</v>
      </c>
      <c r="P30">
        <v>0</v>
      </c>
      <c r="Q30">
        <v>15</v>
      </c>
      <c r="R30">
        <v>0</v>
      </c>
      <c r="S30">
        <v>3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35">
      <c r="A31" t="s">
        <v>5</v>
      </c>
      <c r="B31">
        <v>3</v>
      </c>
      <c r="C31" t="s">
        <v>47</v>
      </c>
      <c r="D31" t="s">
        <v>63</v>
      </c>
      <c r="E31" s="5">
        <v>0.33</v>
      </c>
      <c r="F31">
        <f t="shared" si="0"/>
        <v>0</v>
      </c>
      <c r="G31">
        <v>0</v>
      </c>
      <c r="H31">
        <v>20</v>
      </c>
      <c r="I31">
        <f t="shared" si="1"/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35">
      <c r="A32" t="s">
        <v>6</v>
      </c>
      <c r="B32">
        <v>3</v>
      </c>
      <c r="C32" t="s">
        <v>47</v>
      </c>
      <c r="D32" t="s">
        <v>72</v>
      </c>
      <c r="E32">
        <v>0.65</v>
      </c>
      <c r="F32">
        <f t="shared" si="0"/>
        <v>0.55000000000000004</v>
      </c>
      <c r="G32">
        <v>1</v>
      </c>
      <c r="H32">
        <v>20</v>
      </c>
      <c r="I32">
        <f t="shared" si="1"/>
        <v>10</v>
      </c>
      <c r="J32">
        <v>6</v>
      </c>
      <c r="K32">
        <v>8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35">
      <c r="A33" t="s">
        <v>6</v>
      </c>
      <c r="B33">
        <v>3</v>
      </c>
      <c r="C33" t="s">
        <v>47</v>
      </c>
      <c r="D33" t="s">
        <v>50</v>
      </c>
      <c r="E33">
        <v>0.93</v>
      </c>
      <c r="F33">
        <f t="shared" si="0"/>
        <v>0.85</v>
      </c>
      <c r="G33">
        <v>0</v>
      </c>
      <c r="H33">
        <v>20</v>
      </c>
      <c r="I33">
        <f t="shared" si="1"/>
        <v>17</v>
      </c>
      <c r="J33">
        <v>6</v>
      </c>
      <c r="K33">
        <v>10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0</v>
      </c>
      <c r="S33">
        <v>13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35">
      <c r="A34" t="s">
        <v>6</v>
      </c>
      <c r="B34">
        <v>3</v>
      </c>
      <c r="C34" t="s">
        <v>47</v>
      </c>
      <c r="D34" t="s">
        <v>51</v>
      </c>
      <c r="E34">
        <v>0.66</v>
      </c>
      <c r="F34">
        <f t="shared" si="0"/>
        <v>0.8</v>
      </c>
      <c r="G34">
        <v>0</v>
      </c>
      <c r="H34">
        <v>20</v>
      </c>
      <c r="I34">
        <f t="shared" si="1"/>
        <v>16</v>
      </c>
      <c r="J34">
        <v>6</v>
      </c>
      <c r="K34">
        <v>15</v>
      </c>
      <c r="L34">
        <v>0</v>
      </c>
      <c r="M34">
        <v>0</v>
      </c>
      <c r="N34">
        <v>0</v>
      </c>
      <c r="O34">
        <v>0</v>
      </c>
      <c r="P34">
        <v>0</v>
      </c>
      <c r="Q34">
        <v>6</v>
      </c>
      <c r="R34">
        <v>0</v>
      </c>
      <c r="S34">
        <v>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35">
      <c r="A35" t="s">
        <v>6</v>
      </c>
      <c r="B35">
        <v>3</v>
      </c>
      <c r="C35" t="s">
        <v>47</v>
      </c>
      <c r="D35" t="s">
        <v>73</v>
      </c>
      <c r="E35">
        <v>0.83</v>
      </c>
      <c r="F35">
        <f t="shared" si="0"/>
        <v>0.7</v>
      </c>
      <c r="G35">
        <v>0</v>
      </c>
      <c r="H35">
        <v>20</v>
      </c>
      <c r="I35">
        <f t="shared" si="1"/>
        <v>14</v>
      </c>
      <c r="J35">
        <v>6</v>
      </c>
      <c r="K35">
        <v>15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9</v>
      </c>
      <c r="T35">
        <v>0</v>
      </c>
      <c r="U35">
        <v>3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5">
      <c r="A36" t="s">
        <v>6</v>
      </c>
      <c r="B36">
        <v>3</v>
      </c>
      <c r="C36" t="s">
        <v>47</v>
      </c>
      <c r="D36" t="s">
        <v>74</v>
      </c>
      <c r="E36">
        <v>0.9</v>
      </c>
      <c r="F36">
        <f t="shared" si="0"/>
        <v>0.9</v>
      </c>
      <c r="G36">
        <v>0</v>
      </c>
      <c r="H36">
        <v>20</v>
      </c>
      <c r="I36">
        <f t="shared" si="1"/>
        <v>18</v>
      </c>
      <c r="J36">
        <v>6</v>
      </c>
      <c r="K36">
        <v>15</v>
      </c>
      <c r="L36">
        <v>0</v>
      </c>
      <c r="M36">
        <v>0</v>
      </c>
      <c r="N36">
        <v>0</v>
      </c>
      <c r="O36">
        <v>0</v>
      </c>
      <c r="P36">
        <v>0</v>
      </c>
      <c r="Q36">
        <v>16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35">
      <c r="A37" t="s">
        <v>6</v>
      </c>
      <c r="B37">
        <v>3</v>
      </c>
      <c r="C37" t="s">
        <v>47</v>
      </c>
      <c r="D37" t="s">
        <v>75</v>
      </c>
      <c r="E37">
        <v>0.88</v>
      </c>
      <c r="F37">
        <f t="shared" si="0"/>
        <v>0.75</v>
      </c>
      <c r="G37">
        <v>0</v>
      </c>
      <c r="H37">
        <v>20</v>
      </c>
      <c r="I37">
        <f t="shared" si="1"/>
        <v>15</v>
      </c>
      <c r="J37">
        <v>8</v>
      </c>
      <c r="K37">
        <v>35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12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35">
      <c r="A38" t="s">
        <v>6</v>
      </c>
      <c r="B38">
        <v>3</v>
      </c>
      <c r="C38" t="s">
        <v>47</v>
      </c>
      <c r="D38" t="s">
        <v>56</v>
      </c>
      <c r="E38">
        <v>0.89</v>
      </c>
      <c r="F38">
        <f t="shared" si="0"/>
        <v>0.85</v>
      </c>
      <c r="G38">
        <v>0</v>
      </c>
      <c r="H38">
        <v>20</v>
      </c>
      <c r="I38">
        <f t="shared" si="1"/>
        <v>17</v>
      </c>
      <c r="J38">
        <v>8</v>
      </c>
      <c r="K38">
        <v>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</v>
      </c>
      <c r="T38">
        <v>0</v>
      </c>
      <c r="U38">
        <v>10</v>
      </c>
      <c r="V38">
        <v>0</v>
      </c>
      <c r="W38">
        <v>0</v>
      </c>
      <c r="X38">
        <v>0</v>
      </c>
      <c r="Y38">
        <v>0</v>
      </c>
      <c r="Z38">
        <v>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35">
      <c r="A39" t="s">
        <v>6</v>
      </c>
      <c r="B39">
        <v>3</v>
      </c>
      <c r="C39" t="s">
        <v>47</v>
      </c>
      <c r="D39" t="s">
        <v>76</v>
      </c>
      <c r="E39">
        <v>0.8</v>
      </c>
      <c r="F39">
        <f t="shared" si="0"/>
        <v>0.85</v>
      </c>
      <c r="G39">
        <v>0</v>
      </c>
      <c r="H39">
        <v>20</v>
      </c>
      <c r="I39">
        <f t="shared" si="1"/>
        <v>17</v>
      </c>
      <c r="J39">
        <v>10</v>
      </c>
      <c r="K39">
        <v>15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12</v>
      </c>
      <c r="V39">
        <v>0</v>
      </c>
      <c r="W39">
        <v>0</v>
      </c>
      <c r="X39">
        <v>0</v>
      </c>
      <c r="Y39">
        <v>0</v>
      </c>
      <c r="Z39">
        <v>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35">
      <c r="A40" t="s">
        <v>6</v>
      </c>
      <c r="B40">
        <v>3</v>
      </c>
      <c r="C40" t="s">
        <v>47</v>
      </c>
      <c r="D40" t="s">
        <v>77</v>
      </c>
      <c r="E40">
        <v>0.83</v>
      </c>
      <c r="F40">
        <f t="shared" si="0"/>
        <v>0.8</v>
      </c>
      <c r="G40">
        <v>0</v>
      </c>
      <c r="H40">
        <v>20</v>
      </c>
      <c r="I40">
        <f t="shared" si="1"/>
        <v>16</v>
      </c>
      <c r="J40">
        <v>8</v>
      </c>
      <c r="K40">
        <v>22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13</v>
      </c>
      <c r="T40">
        <v>0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35">
      <c r="A41" t="s">
        <v>6</v>
      </c>
      <c r="B41">
        <v>3</v>
      </c>
      <c r="C41" t="s">
        <v>47</v>
      </c>
      <c r="D41" t="s">
        <v>78</v>
      </c>
      <c r="E41">
        <v>0.94</v>
      </c>
      <c r="F41">
        <f t="shared" si="0"/>
        <v>0.85</v>
      </c>
      <c r="G41">
        <v>0</v>
      </c>
      <c r="H41">
        <v>20</v>
      </c>
      <c r="I41">
        <f t="shared" si="1"/>
        <v>17</v>
      </c>
      <c r="J41">
        <v>8</v>
      </c>
      <c r="K41">
        <v>24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</v>
      </c>
      <c r="T41">
        <v>0</v>
      </c>
      <c r="U41">
        <v>10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35">
      <c r="A42" t="s">
        <v>6</v>
      </c>
      <c r="B42">
        <v>3</v>
      </c>
      <c r="C42" t="s">
        <v>47</v>
      </c>
      <c r="D42" t="s">
        <v>58</v>
      </c>
      <c r="E42">
        <v>0.68</v>
      </c>
      <c r="F42">
        <f t="shared" si="0"/>
        <v>0.6</v>
      </c>
      <c r="G42">
        <v>0</v>
      </c>
      <c r="H42">
        <v>20</v>
      </c>
      <c r="I42">
        <f t="shared" si="1"/>
        <v>12</v>
      </c>
      <c r="J42">
        <v>8</v>
      </c>
      <c r="K42">
        <v>15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>
        <v>6</v>
      </c>
      <c r="V42">
        <v>0</v>
      </c>
      <c r="W42">
        <v>0</v>
      </c>
      <c r="X42">
        <v>0</v>
      </c>
      <c r="Y42">
        <v>0</v>
      </c>
      <c r="Z42">
        <v>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35">
      <c r="A43" t="s">
        <v>6</v>
      </c>
      <c r="B43">
        <v>3</v>
      </c>
      <c r="C43" t="s">
        <v>47</v>
      </c>
      <c r="D43" t="s">
        <v>79</v>
      </c>
      <c r="E43">
        <v>0.28000000000000003</v>
      </c>
      <c r="F43">
        <f t="shared" si="0"/>
        <v>0.3</v>
      </c>
      <c r="G43">
        <v>0</v>
      </c>
      <c r="H43">
        <v>20</v>
      </c>
      <c r="I43">
        <f t="shared" si="1"/>
        <v>6</v>
      </c>
      <c r="J43">
        <v>10</v>
      </c>
      <c r="K43">
        <v>15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35">
      <c r="A44" t="s">
        <v>6</v>
      </c>
      <c r="B44">
        <v>3</v>
      </c>
      <c r="C44" t="s">
        <v>47</v>
      </c>
      <c r="D44" t="s">
        <v>70</v>
      </c>
      <c r="E44">
        <v>0.94</v>
      </c>
      <c r="F44">
        <f t="shared" si="0"/>
        <v>0.9</v>
      </c>
      <c r="G44">
        <v>0</v>
      </c>
      <c r="H44">
        <v>20</v>
      </c>
      <c r="I44">
        <f t="shared" si="1"/>
        <v>18</v>
      </c>
      <c r="J44">
        <v>8</v>
      </c>
      <c r="K44">
        <v>10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13</v>
      </c>
      <c r="T44">
        <v>0</v>
      </c>
      <c r="U44">
        <v>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35">
      <c r="A45" t="s">
        <v>6</v>
      </c>
      <c r="B45">
        <v>3</v>
      </c>
      <c r="C45" t="s">
        <v>47</v>
      </c>
      <c r="D45" t="s">
        <v>80</v>
      </c>
      <c r="E45">
        <v>0.77</v>
      </c>
      <c r="F45">
        <f t="shared" si="0"/>
        <v>0.6</v>
      </c>
      <c r="G45">
        <v>0</v>
      </c>
      <c r="H45">
        <v>20</v>
      </c>
      <c r="I45">
        <f t="shared" si="1"/>
        <v>12</v>
      </c>
      <c r="J45">
        <v>8</v>
      </c>
      <c r="K45">
        <v>15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</v>
      </c>
      <c r="T45">
        <v>0</v>
      </c>
      <c r="U45">
        <v>5</v>
      </c>
      <c r="V45">
        <v>0</v>
      </c>
      <c r="W45">
        <v>0</v>
      </c>
      <c r="X45">
        <v>0</v>
      </c>
      <c r="Y45">
        <v>0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35">
      <c r="A46" t="s">
        <v>6</v>
      </c>
      <c r="B46">
        <v>3</v>
      </c>
      <c r="C46" t="s">
        <v>47</v>
      </c>
      <c r="D46" t="s">
        <v>61</v>
      </c>
      <c r="E46" s="5">
        <v>0.4</v>
      </c>
      <c r="F46">
        <f t="shared" si="0"/>
        <v>0.4</v>
      </c>
      <c r="G46">
        <v>0</v>
      </c>
      <c r="H46">
        <v>20</v>
      </c>
      <c r="I46">
        <f t="shared" si="1"/>
        <v>8</v>
      </c>
      <c r="J46">
        <v>10</v>
      </c>
      <c r="K46">
        <v>15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</v>
      </c>
      <c r="V46">
        <v>0</v>
      </c>
      <c r="W46">
        <v>0</v>
      </c>
      <c r="X46">
        <v>0</v>
      </c>
      <c r="Y46">
        <v>0</v>
      </c>
      <c r="Z46">
        <v>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35">
      <c r="A47" t="s">
        <v>7</v>
      </c>
      <c r="B47">
        <v>3</v>
      </c>
      <c r="C47" t="s">
        <v>47</v>
      </c>
      <c r="D47" t="s">
        <v>49</v>
      </c>
      <c r="E47">
        <v>0.86</v>
      </c>
      <c r="F47">
        <f t="shared" si="0"/>
        <v>0.7</v>
      </c>
      <c r="G47">
        <v>3</v>
      </c>
      <c r="H47">
        <v>20</v>
      </c>
      <c r="I47">
        <f t="shared" si="1"/>
        <v>11</v>
      </c>
      <c r="J47">
        <v>8</v>
      </c>
      <c r="K47">
        <v>15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4</v>
      </c>
      <c r="V47">
        <v>0</v>
      </c>
      <c r="W47">
        <v>0</v>
      </c>
      <c r="X47">
        <v>0</v>
      </c>
      <c r="Y47">
        <v>0</v>
      </c>
      <c r="Z47">
        <v>6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35">
      <c r="A48" t="s">
        <v>7</v>
      </c>
      <c r="B48">
        <v>3</v>
      </c>
      <c r="C48" t="s">
        <v>47</v>
      </c>
      <c r="D48" t="s">
        <v>81</v>
      </c>
      <c r="E48">
        <v>0.87</v>
      </c>
      <c r="F48">
        <f t="shared" si="0"/>
        <v>0.85</v>
      </c>
      <c r="G48">
        <v>0</v>
      </c>
      <c r="H48">
        <v>20</v>
      </c>
      <c r="I48">
        <f t="shared" si="1"/>
        <v>17</v>
      </c>
      <c r="J48">
        <v>8</v>
      </c>
      <c r="K48">
        <v>15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8</v>
      </c>
      <c r="T48">
        <v>0</v>
      </c>
      <c r="U48">
        <v>8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35">
      <c r="A49" t="s">
        <v>7</v>
      </c>
      <c r="B49">
        <v>3</v>
      </c>
      <c r="C49" t="s">
        <v>47</v>
      </c>
      <c r="D49" t="s">
        <v>82</v>
      </c>
      <c r="E49">
        <v>0.96</v>
      </c>
      <c r="F49">
        <f t="shared" si="0"/>
        <v>0.9</v>
      </c>
      <c r="G49">
        <v>0</v>
      </c>
      <c r="H49">
        <v>20</v>
      </c>
      <c r="I49">
        <f t="shared" si="1"/>
        <v>18</v>
      </c>
      <c r="J49">
        <v>8</v>
      </c>
      <c r="K49">
        <v>15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15</v>
      </c>
      <c r="T49">
        <v>0</v>
      </c>
      <c r="U49">
        <v>2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35">
      <c r="A50" t="s">
        <v>7</v>
      </c>
      <c r="B50">
        <v>3</v>
      </c>
      <c r="C50" t="s">
        <v>47</v>
      </c>
      <c r="D50" t="s">
        <v>83</v>
      </c>
      <c r="E50">
        <v>0.77</v>
      </c>
      <c r="F50">
        <f t="shared" si="0"/>
        <v>0.85</v>
      </c>
      <c r="G50">
        <v>0</v>
      </c>
      <c r="H50">
        <v>20</v>
      </c>
      <c r="I50">
        <f t="shared" si="1"/>
        <v>17</v>
      </c>
      <c r="J50">
        <v>8</v>
      </c>
      <c r="K50">
        <v>10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15</v>
      </c>
      <c r="T50">
        <v>0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35">
      <c r="A51" t="s">
        <v>7</v>
      </c>
      <c r="B51">
        <v>3</v>
      </c>
      <c r="C51" t="s">
        <v>47</v>
      </c>
      <c r="D51" t="s">
        <v>84</v>
      </c>
      <c r="E51">
        <v>0.57999999999999996</v>
      </c>
      <c r="F51">
        <f t="shared" si="0"/>
        <v>0.6</v>
      </c>
      <c r="G51">
        <v>0</v>
      </c>
      <c r="H51">
        <v>20</v>
      </c>
      <c r="I51">
        <f t="shared" si="1"/>
        <v>12</v>
      </c>
      <c r="J51">
        <v>8</v>
      </c>
      <c r="K51">
        <v>17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8</v>
      </c>
      <c r="T51">
        <v>0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35">
      <c r="A52" t="s">
        <v>7</v>
      </c>
      <c r="B52">
        <v>3</v>
      </c>
      <c r="C52" t="s">
        <v>47</v>
      </c>
      <c r="D52" t="s">
        <v>65</v>
      </c>
      <c r="E52">
        <v>0.83</v>
      </c>
      <c r="F52">
        <f t="shared" si="0"/>
        <v>0.75</v>
      </c>
      <c r="G52">
        <v>0</v>
      </c>
      <c r="H52">
        <v>20</v>
      </c>
      <c r="I52">
        <f t="shared" si="1"/>
        <v>15</v>
      </c>
      <c r="J52">
        <v>8</v>
      </c>
      <c r="K52">
        <v>17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12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5">
      <c r="A53" t="s">
        <v>7</v>
      </c>
      <c r="B53">
        <v>3</v>
      </c>
      <c r="C53" t="s">
        <v>47</v>
      </c>
      <c r="D53" t="s">
        <v>85</v>
      </c>
      <c r="E53">
        <v>0.92</v>
      </c>
      <c r="F53">
        <f t="shared" si="0"/>
        <v>0.85</v>
      </c>
      <c r="G53">
        <v>0</v>
      </c>
      <c r="H53">
        <v>20</v>
      </c>
      <c r="I53">
        <f t="shared" si="1"/>
        <v>17</v>
      </c>
      <c r="J53">
        <v>8</v>
      </c>
      <c r="K53">
        <v>15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11</v>
      </c>
      <c r="T53">
        <v>0</v>
      </c>
      <c r="U53">
        <v>5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35">
      <c r="A54" t="s">
        <v>7</v>
      </c>
      <c r="B54">
        <v>3</v>
      </c>
      <c r="C54" t="s">
        <v>47</v>
      </c>
      <c r="D54" t="s">
        <v>67</v>
      </c>
      <c r="E54">
        <v>0.86</v>
      </c>
      <c r="F54">
        <f t="shared" si="0"/>
        <v>0.95</v>
      </c>
      <c r="G54">
        <v>0</v>
      </c>
      <c r="H54">
        <v>20</v>
      </c>
      <c r="I54">
        <f t="shared" si="1"/>
        <v>19</v>
      </c>
      <c r="J54">
        <v>6</v>
      </c>
      <c r="K54">
        <v>15</v>
      </c>
      <c r="L54">
        <v>0</v>
      </c>
      <c r="M54">
        <v>0</v>
      </c>
      <c r="N54">
        <v>0</v>
      </c>
      <c r="O54">
        <v>0</v>
      </c>
      <c r="P54">
        <v>0</v>
      </c>
      <c r="Q54">
        <v>3</v>
      </c>
      <c r="R54">
        <v>0</v>
      </c>
      <c r="S54">
        <v>14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35">
      <c r="A55" t="s">
        <v>7</v>
      </c>
      <c r="B55">
        <v>3</v>
      </c>
      <c r="C55" t="s">
        <v>47</v>
      </c>
      <c r="D55" t="s">
        <v>75</v>
      </c>
      <c r="E55">
        <v>0.88</v>
      </c>
      <c r="F55">
        <f t="shared" si="0"/>
        <v>0.6</v>
      </c>
      <c r="G55">
        <v>0</v>
      </c>
      <c r="H55">
        <v>20</v>
      </c>
      <c r="I55">
        <f t="shared" si="1"/>
        <v>12</v>
      </c>
      <c r="J55">
        <v>8</v>
      </c>
      <c r="K55">
        <v>22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5">
      <c r="A56" t="s">
        <v>7</v>
      </c>
      <c r="B56">
        <v>3</v>
      </c>
      <c r="C56" t="s">
        <v>47</v>
      </c>
      <c r="D56" t="s">
        <v>86</v>
      </c>
      <c r="E56">
        <v>0.89</v>
      </c>
      <c r="F56">
        <f t="shared" si="0"/>
        <v>0.9</v>
      </c>
      <c r="G56">
        <v>0</v>
      </c>
      <c r="H56">
        <v>20</v>
      </c>
      <c r="I56">
        <f t="shared" si="1"/>
        <v>18</v>
      </c>
      <c r="J56">
        <v>6</v>
      </c>
      <c r="K56">
        <v>27</v>
      </c>
      <c r="L56">
        <v>0</v>
      </c>
      <c r="M56">
        <v>0</v>
      </c>
      <c r="N56">
        <v>0</v>
      </c>
      <c r="O56">
        <v>0</v>
      </c>
      <c r="P56">
        <v>0</v>
      </c>
      <c r="Q56">
        <v>8</v>
      </c>
      <c r="R56">
        <v>0</v>
      </c>
      <c r="S56">
        <v>5</v>
      </c>
      <c r="T56">
        <v>0</v>
      </c>
      <c r="U56">
        <v>3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s="7" customFormat="1" x14ac:dyDescent="0.35">
      <c r="A57" t="s">
        <v>7</v>
      </c>
      <c r="B57">
        <v>3</v>
      </c>
      <c r="C57" t="s">
        <v>47</v>
      </c>
      <c r="D57" t="s">
        <v>57</v>
      </c>
      <c r="E57">
        <v>0.9</v>
      </c>
      <c r="F57">
        <f t="shared" si="0"/>
        <v>1</v>
      </c>
      <c r="G57">
        <v>0</v>
      </c>
      <c r="H57">
        <v>20</v>
      </c>
      <c r="I57">
        <f t="shared" si="1"/>
        <v>20</v>
      </c>
      <c r="J57">
        <v>8</v>
      </c>
      <c r="K57">
        <v>10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15</v>
      </c>
      <c r="T57">
        <v>0</v>
      </c>
      <c r="U57">
        <v>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35">
      <c r="A58" t="s">
        <v>7</v>
      </c>
      <c r="B58">
        <v>3</v>
      </c>
      <c r="C58" t="s">
        <v>47</v>
      </c>
      <c r="D58" t="s">
        <v>78</v>
      </c>
      <c r="E58">
        <v>0.94</v>
      </c>
      <c r="F58">
        <f t="shared" si="0"/>
        <v>0.95</v>
      </c>
      <c r="G58">
        <v>1</v>
      </c>
      <c r="H58">
        <v>20</v>
      </c>
      <c r="I58">
        <f t="shared" si="1"/>
        <v>18</v>
      </c>
      <c r="J58">
        <v>8</v>
      </c>
      <c r="K58">
        <v>15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8</v>
      </c>
      <c r="T58">
        <v>0</v>
      </c>
      <c r="U58">
        <v>9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35">
      <c r="A59" t="s">
        <v>7</v>
      </c>
      <c r="B59">
        <v>3</v>
      </c>
      <c r="C59" t="s">
        <v>47</v>
      </c>
      <c r="D59" t="s">
        <v>60</v>
      </c>
      <c r="E59">
        <v>0.97</v>
      </c>
      <c r="F59">
        <f t="shared" si="0"/>
        <v>0.95</v>
      </c>
      <c r="G59">
        <v>0</v>
      </c>
      <c r="H59">
        <v>20</v>
      </c>
      <c r="I59">
        <f t="shared" si="1"/>
        <v>19</v>
      </c>
      <c r="J59">
        <v>6</v>
      </c>
      <c r="K59">
        <v>10</v>
      </c>
      <c r="L59">
        <v>0</v>
      </c>
      <c r="M59">
        <v>0</v>
      </c>
      <c r="N59">
        <v>0</v>
      </c>
      <c r="O59">
        <v>0</v>
      </c>
      <c r="P59">
        <v>0</v>
      </c>
      <c r="Q59">
        <v>3</v>
      </c>
      <c r="R59">
        <v>0</v>
      </c>
      <c r="S59">
        <v>14</v>
      </c>
      <c r="T59">
        <v>0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35">
      <c r="A60" t="s">
        <v>7</v>
      </c>
      <c r="B60">
        <v>3</v>
      </c>
      <c r="C60" t="s">
        <v>47</v>
      </c>
      <c r="D60" t="s">
        <v>61</v>
      </c>
      <c r="E60">
        <v>0.4</v>
      </c>
      <c r="F60">
        <f t="shared" si="0"/>
        <v>0.1</v>
      </c>
      <c r="G60">
        <v>0</v>
      </c>
      <c r="H60">
        <v>20</v>
      </c>
      <c r="I60">
        <f t="shared" si="1"/>
        <v>2</v>
      </c>
      <c r="J60">
        <v>15</v>
      </c>
      <c r="K60">
        <v>20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35">
      <c r="A61" t="s">
        <v>7</v>
      </c>
      <c r="B61">
        <v>3</v>
      </c>
      <c r="C61" t="s">
        <v>47</v>
      </c>
      <c r="D61" t="s">
        <v>87</v>
      </c>
      <c r="E61" s="5">
        <v>0.89</v>
      </c>
      <c r="F61">
        <f t="shared" si="0"/>
        <v>0.95</v>
      </c>
      <c r="G61">
        <v>0</v>
      </c>
      <c r="H61">
        <v>20</v>
      </c>
      <c r="I61">
        <f t="shared" si="1"/>
        <v>19</v>
      </c>
      <c r="J61">
        <v>8</v>
      </c>
      <c r="K61">
        <v>10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</v>
      </c>
      <c r="T61">
        <v>0</v>
      </c>
      <c r="U61">
        <v>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35">
      <c r="A62" t="s">
        <v>8</v>
      </c>
      <c r="B62">
        <v>3</v>
      </c>
      <c r="C62" t="s">
        <v>47</v>
      </c>
      <c r="D62" t="s">
        <v>64</v>
      </c>
      <c r="E62">
        <v>0.93</v>
      </c>
      <c r="F62">
        <f t="shared" si="0"/>
        <v>0.95</v>
      </c>
      <c r="G62">
        <v>0</v>
      </c>
      <c r="H62">
        <v>20</v>
      </c>
      <c r="I62">
        <f t="shared" si="1"/>
        <v>19</v>
      </c>
      <c r="J62">
        <v>8</v>
      </c>
      <c r="K62">
        <v>29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4</v>
      </c>
      <c r="T62">
        <v>0</v>
      </c>
      <c r="U62">
        <v>7</v>
      </c>
      <c r="V62">
        <v>0</v>
      </c>
      <c r="W62">
        <v>0</v>
      </c>
      <c r="X62">
        <v>0</v>
      </c>
      <c r="Y62">
        <v>0</v>
      </c>
      <c r="Z62">
        <v>6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x14ac:dyDescent="0.35">
      <c r="A63" t="s">
        <v>8</v>
      </c>
      <c r="B63">
        <v>3</v>
      </c>
      <c r="C63" t="s">
        <v>47</v>
      </c>
      <c r="D63" t="s">
        <v>82</v>
      </c>
      <c r="E63">
        <v>0.96</v>
      </c>
      <c r="F63">
        <f t="shared" si="0"/>
        <v>0.95</v>
      </c>
      <c r="G63">
        <v>0</v>
      </c>
      <c r="H63">
        <v>20</v>
      </c>
      <c r="I63">
        <f t="shared" si="1"/>
        <v>19</v>
      </c>
      <c r="J63">
        <v>8</v>
      </c>
      <c r="K63">
        <v>22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12</v>
      </c>
      <c r="T63">
        <v>0</v>
      </c>
      <c r="U63">
        <v>5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35">
      <c r="A64" t="s">
        <v>8</v>
      </c>
      <c r="B64">
        <v>3</v>
      </c>
      <c r="C64" t="s">
        <v>47</v>
      </c>
      <c r="D64" t="s">
        <v>50</v>
      </c>
      <c r="E64">
        <v>0.93</v>
      </c>
      <c r="F64">
        <f t="shared" si="0"/>
        <v>0.9</v>
      </c>
      <c r="G64">
        <v>0</v>
      </c>
      <c r="H64">
        <v>20</v>
      </c>
      <c r="I64">
        <f t="shared" si="1"/>
        <v>18</v>
      </c>
      <c r="J64">
        <v>8</v>
      </c>
      <c r="K64">
        <v>10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12</v>
      </c>
      <c r="T64">
        <v>0</v>
      </c>
      <c r="U64">
        <v>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</row>
    <row r="65" spans="1:56" x14ac:dyDescent="0.35">
      <c r="A65" t="s">
        <v>8</v>
      </c>
      <c r="B65">
        <v>3</v>
      </c>
      <c r="C65" t="s">
        <v>47</v>
      </c>
      <c r="D65" t="s">
        <v>83</v>
      </c>
      <c r="E65">
        <v>0.77</v>
      </c>
      <c r="F65">
        <f t="shared" si="0"/>
        <v>1</v>
      </c>
      <c r="G65">
        <v>0</v>
      </c>
      <c r="H65">
        <v>20</v>
      </c>
      <c r="I65">
        <f t="shared" si="1"/>
        <v>20</v>
      </c>
      <c r="J65">
        <v>8</v>
      </c>
      <c r="K65">
        <v>15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14</v>
      </c>
      <c r="T65">
        <v>0</v>
      </c>
      <c r="U65">
        <v>4</v>
      </c>
      <c r="V65">
        <v>0</v>
      </c>
      <c r="W65">
        <v>0</v>
      </c>
      <c r="X65">
        <v>0</v>
      </c>
      <c r="Y65">
        <v>0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</row>
    <row r="66" spans="1:56" x14ac:dyDescent="0.35">
      <c r="A66" t="s">
        <v>8</v>
      </c>
      <c r="B66">
        <v>3</v>
      </c>
      <c r="C66" t="s">
        <v>47</v>
      </c>
      <c r="D66" t="s">
        <v>65</v>
      </c>
      <c r="E66">
        <v>0.83</v>
      </c>
      <c r="F66">
        <f t="shared" si="0"/>
        <v>0.85</v>
      </c>
      <c r="G66">
        <v>0</v>
      </c>
      <c r="H66">
        <v>20</v>
      </c>
      <c r="I66">
        <f t="shared" si="1"/>
        <v>17</v>
      </c>
      <c r="J66">
        <v>8</v>
      </c>
      <c r="K66">
        <v>17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</v>
      </c>
      <c r="T66">
        <v>0</v>
      </c>
      <c r="U66">
        <v>10</v>
      </c>
      <c r="V66">
        <v>0</v>
      </c>
      <c r="W66">
        <v>0</v>
      </c>
      <c r="X66">
        <v>0</v>
      </c>
      <c r="Y66">
        <v>0</v>
      </c>
      <c r="Z66">
        <v>3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35">
      <c r="A67" t="s">
        <v>8</v>
      </c>
      <c r="B67">
        <v>3</v>
      </c>
      <c r="C67" t="s">
        <v>47</v>
      </c>
      <c r="D67" t="s">
        <v>74</v>
      </c>
      <c r="E67">
        <v>0.9</v>
      </c>
      <c r="F67">
        <f t="shared" ref="F67:F91" si="2">(G67+I67)/20</f>
        <v>0.95</v>
      </c>
      <c r="G67">
        <v>0</v>
      </c>
      <c r="H67">
        <v>20</v>
      </c>
      <c r="I67">
        <f t="shared" ref="I67:I91" si="3">SUM(L67:AX67)</f>
        <v>19</v>
      </c>
      <c r="J67">
        <v>8</v>
      </c>
      <c r="K67">
        <v>10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15</v>
      </c>
      <c r="T67">
        <v>0</v>
      </c>
      <c r="U67">
        <v>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</row>
    <row r="68" spans="1:56" x14ac:dyDescent="0.35">
      <c r="A68" t="s">
        <v>8</v>
      </c>
      <c r="B68">
        <v>3</v>
      </c>
      <c r="C68" t="s">
        <v>47</v>
      </c>
      <c r="D68" t="s">
        <v>54</v>
      </c>
      <c r="E68">
        <v>0.89</v>
      </c>
      <c r="F68">
        <f t="shared" si="2"/>
        <v>0.75</v>
      </c>
      <c r="G68">
        <v>0</v>
      </c>
      <c r="H68">
        <v>20</v>
      </c>
      <c r="I68">
        <f t="shared" si="3"/>
        <v>15</v>
      </c>
      <c r="J68">
        <v>8</v>
      </c>
      <c r="K68">
        <v>10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14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35">
      <c r="A69" t="s">
        <v>8</v>
      </c>
      <c r="B69">
        <v>3</v>
      </c>
      <c r="C69" t="s">
        <v>47</v>
      </c>
      <c r="D69" t="s">
        <v>67</v>
      </c>
      <c r="E69">
        <v>0.86</v>
      </c>
      <c r="F69">
        <f t="shared" si="2"/>
        <v>0.95</v>
      </c>
      <c r="G69">
        <v>0</v>
      </c>
      <c r="H69">
        <v>20</v>
      </c>
      <c r="I69">
        <f t="shared" si="3"/>
        <v>19</v>
      </c>
      <c r="J69">
        <v>8</v>
      </c>
      <c r="K69">
        <v>10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11</v>
      </c>
      <c r="T69">
        <v>0</v>
      </c>
      <c r="U69">
        <v>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35">
      <c r="A70" t="s">
        <v>8</v>
      </c>
      <c r="B70">
        <v>3</v>
      </c>
      <c r="C70" t="s">
        <v>47</v>
      </c>
      <c r="D70" t="s">
        <v>55</v>
      </c>
      <c r="E70">
        <v>0.8</v>
      </c>
      <c r="F70">
        <f t="shared" si="2"/>
        <v>0.85</v>
      </c>
      <c r="G70">
        <v>0</v>
      </c>
      <c r="H70">
        <v>20</v>
      </c>
      <c r="I70">
        <f t="shared" si="3"/>
        <v>17</v>
      </c>
      <c r="J70">
        <v>8</v>
      </c>
      <c r="K70">
        <v>20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6</v>
      </c>
      <c r="T70">
        <v>0</v>
      </c>
      <c r="U70">
        <v>9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</row>
    <row r="71" spans="1:56" x14ac:dyDescent="0.35">
      <c r="A71" t="s">
        <v>8</v>
      </c>
      <c r="B71">
        <v>3</v>
      </c>
      <c r="C71" t="s">
        <v>47</v>
      </c>
      <c r="D71" t="s">
        <v>75</v>
      </c>
      <c r="E71">
        <v>0.88</v>
      </c>
      <c r="F71">
        <f t="shared" si="2"/>
        <v>0.75</v>
      </c>
      <c r="G71">
        <v>0</v>
      </c>
      <c r="H71">
        <v>20</v>
      </c>
      <c r="I71">
        <f t="shared" si="3"/>
        <v>15</v>
      </c>
      <c r="J71">
        <v>8</v>
      </c>
      <c r="K71">
        <v>27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</v>
      </c>
      <c r="T71">
        <v>0</v>
      </c>
      <c r="U71">
        <v>10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35">
      <c r="A72" t="s">
        <v>8</v>
      </c>
      <c r="B72">
        <v>3</v>
      </c>
      <c r="C72" t="s">
        <v>47</v>
      </c>
      <c r="D72" t="s">
        <v>56</v>
      </c>
      <c r="E72">
        <v>0.89</v>
      </c>
      <c r="F72">
        <f t="shared" si="2"/>
        <v>0.85</v>
      </c>
      <c r="G72">
        <v>0</v>
      </c>
      <c r="H72">
        <v>20</v>
      </c>
      <c r="I72">
        <f t="shared" si="3"/>
        <v>17</v>
      </c>
      <c r="J72">
        <v>8</v>
      </c>
      <c r="K72">
        <v>15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x14ac:dyDescent="0.35">
      <c r="A73" t="s">
        <v>8</v>
      </c>
      <c r="B73">
        <v>3</v>
      </c>
      <c r="C73" t="s">
        <v>47</v>
      </c>
      <c r="D73" t="s">
        <v>69</v>
      </c>
      <c r="E73">
        <v>0.82</v>
      </c>
      <c r="F73">
        <f t="shared" si="2"/>
        <v>0.95</v>
      </c>
      <c r="G73">
        <v>0</v>
      </c>
      <c r="H73">
        <v>20</v>
      </c>
      <c r="I73">
        <f t="shared" si="3"/>
        <v>19</v>
      </c>
      <c r="J73">
        <v>8</v>
      </c>
      <c r="K73">
        <v>10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</v>
      </c>
      <c r="T73">
        <v>0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56" x14ac:dyDescent="0.35">
      <c r="A74" t="s">
        <v>8</v>
      </c>
      <c r="B74">
        <v>3</v>
      </c>
      <c r="C74" t="s">
        <v>47</v>
      </c>
      <c r="D74" t="s">
        <v>77</v>
      </c>
      <c r="E74">
        <v>0.83</v>
      </c>
      <c r="F74">
        <f t="shared" si="2"/>
        <v>0.8</v>
      </c>
      <c r="G74">
        <v>0</v>
      </c>
      <c r="H74">
        <v>20</v>
      </c>
      <c r="I74">
        <f t="shared" si="3"/>
        <v>16</v>
      </c>
      <c r="J74">
        <v>8</v>
      </c>
      <c r="K74">
        <v>22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</v>
      </c>
      <c r="T74">
        <v>0</v>
      </c>
      <c r="U74">
        <v>5</v>
      </c>
      <c r="V74">
        <v>0</v>
      </c>
      <c r="W74">
        <v>0</v>
      </c>
      <c r="X74">
        <v>0</v>
      </c>
      <c r="Y74">
        <v>0</v>
      </c>
      <c r="Z74">
        <v>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0</v>
      </c>
      <c r="AI74">
        <v>0</v>
      </c>
      <c r="AJ74">
        <v>0</v>
      </c>
      <c r="AK74">
        <v>0</v>
      </c>
      <c r="AL74">
        <v>2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</row>
    <row r="75" spans="1:56" x14ac:dyDescent="0.35">
      <c r="A75" t="s">
        <v>8</v>
      </c>
      <c r="B75">
        <v>3</v>
      </c>
      <c r="C75" t="s">
        <v>47</v>
      </c>
      <c r="D75" t="s">
        <v>79</v>
      </c>
      <c r="E75">
        <v>0.28000000000000003</v>
      </c>
      <c r="F75">
        <f t="shared" si="2"/>
        <v>0.25</v>
      </c>
      <c r="G75">
        <v>0</v>
      </c>
      <c r="H75">
        <v>20</v>
      </c>
      <c r="I75">
        <f t="shared" si="3"/>
        <v>5</v>
      </c>
      <c r="J75">
        <v>8</v>
      </c>
      <c r="K75">
        <v>10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</row>
    <row r="76" spans="1:56" x14ac:dyDescent="0.35">
      <c r="A76" t="s">
        <v>8</v>
      </c>
      <c r="B76">
        <v>3</v>
      </c>
      <c r="C76" t="s">
        <v>47</v>
      </c>
      <c r="D76" t="s">
        <v>62</v>
      </c>
      <c r="E76" s="5">
        <v>0.77</v>
      </c>
      <c r="F76">
        <f t="shared" si="2"/>
        <v>0.8</v>
      </c>
      <c r="G76">
        <v>0</v>
      </c>
      <c r="H76">
        <v>20</v>
      </c>
      <c r="I76">
        <f t="shared" si="3"/>
        <v>16</v>
      </c>
      <c r="J76">
        <v>8</v>
      </c>
      <c r="K76">
        <v>10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8</v>
      </c>
      <c r="T76">
        <v>0</v>
      </c>
      <c r="U76">
        <v>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</row>
    <row r="77" spans="1:56" x14ac:dyDescent="0.35">
      <c r="A77" t="s">
        <v>9</v>
      </c>
      <c r="B77">
        <v>3</v>
      </c>
      <c r="C77" t="s">
        <v>47</v>
      </c>
      <c r="D77" t="s">
        <v>72</v>
      </c>
      <c r="E77">
        <v>0.64</v>
      </c>
      <c r="F77">
        <f t="shared" si="2"/>
        <v>0.35</v>
      </c>
      <c r="G77">
        <v>0</v>
      </c>
      <c r="H77">
        <v>20</v>
      </c>
      <c r="I77">
        <f t="shared" si="3"/>
        <v>7</v>
      </c>
      <c r="J77">
        <v>10</v>
      </c>
      <c r="K77">
        <v>33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35">
      <c r="A78" t="s">
        <v>9</v>
      </c>
      <c r="B78">
        <v>3</v>
      </c>
      <c r="C78" t="s">
        <v>47</v>
      </c>
      <c r="D78" t="s">
        <v>82</v>
      </c>
      <c r="E78">
        <v>0.96</v>
      </c>
      <c r="F78">
        <f t="shared" si="2"/>
        <v>0.9</v>
      </c>
      <c r="G78">
        <v>0</v>
      </c>
      <c r="H78">
        <v>20</v>
      </c>
      <c r="I78">
        <f t="shared" si="3"/>
        <v>18</v>
      </c>
      <c r="J78">
        <v>8</v>
      </c>
      <c r="K78">
        <v>15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</v>
      </c>
      <c r="T78">
        <v>0</v>
      </c>
      <c r="U78">
        <v>5</v>
      </c>
      <c r="V78">
        <v>0</v>
      </c>
      <c r="W78">
        <v>0</v>
      </c>
      <c r="X78">
        <v>0</v>
      </c>
      <c r="Y78">
        <v>0</v>
      </c>
      <c r="Z78">
        <v>10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35">
      <c r="A79" t="s">
        <v>9</v>
      </c>
      <c r="B79">
        <v>3</v>
      </c>
      <c r="C79" t="s">
        <v>47</v>
      </c>
      <c r="D79" t="s">
        <v>53</v>
      </c>
      <c r="E79">
        <v>0.85</v>
      </c>
      <c r="F79">
        <f t="shared" si="2"/>
        <v>0.6</v>
      </c>
      <c r="G79">
        <v>0</v>
      </c>
      <c r="H79">
        <v>20</v>
      </c>
      <c r="I79">
        <f t="shared" si="3"/>
        <v>12</v>
      </c>
      <c r="J79">
        <v>10</v>
      </c>
      <c r="K79">
        <v>33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5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x14ac:dyDescent="0.35">
      <c r="A80" t="s">
        <v>9</v>
      </c>
      <c r="B80">
        <v>3</v>
      </c>
      <c r="C80" t="s">
        <v>47</v>
      </c>
      <c r="D80" t="s">
        <v>89</v>
      </c>
      <c r="E80">
        <v>0.87</v>
      </c>
      <c r="F80">
        <f t="shared" si="2"/>
        <v>0.8</v>
      </c>
      <c r="G80">
        <v>0</v>
      </c>
      <c r="H80">
        <v>20</v>
      </c>
      <c r="I80">
        <f t="shared" si="3"/>
        <v>16</v>
      </c>
      <c r="J80">
        <v>15</v>
      </c>
      <c r="K80">
        <v>20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7</v>
      </c>
      <c r="AA80">
        <v>0</v>
      </c>
      <c r="AB80">
        <v>6</v>
      </c>
      <c r="AC80">
        <v>0</v>
      </c>
      <c r="AD80">
        <v>0</v>
      </c>
      <c r="AE80">
        <v>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35">
      <c r="A81" t="s">
        <v>9</v>
      </c>
      <c r="B81">
        <v>3</v>
      </c>
      <c r="C81" t="s">
        <v>47</v>
      </c>
      <c r="D81" t="s">
        <v>83</v>
      </c>
      <c r="E81">
        <v>0.77</v>
      </c>
      <c r="F81">
        <f t="shared" si="2"/>
        <v>0.85</v>
      </c>
      <c r="G81">
        <v>0</v>
      </c>
      <c r="H81">
        <v>20</v>
      </c>
      <c r="I81">
        <f t="shared" si="3"/>
        <v>17</v>
      </c>
      <c r="J81">
        <v>15</v>
      </c>
      <c r="K81">
        <v>22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9</v>
      </c>
      <c r="AA81">
        <v>0</v>
      </c>
      <c r="AB81">
        <v>4</v>
      </c>
      <c r="AC81">
        <v>0</v>
      </c>
      <c r="AD81">
        <v>0</v>
      </c>
      <c r="AE81">
        <v>2</v>
      </c>
      <c r="AF81">
        <v>0</v>
      </c>
      <c r="AG81">
        <v>2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35">
      <c r="A82" t="s">
        <v>9</v>
      </c>
      <c r="B82">
        <v>3</v>
      </c>
      <c r="C82" t="s">
        <v>47</v>
      </c>
      <c r="D82" t="s">
        <v>84</v>
      </c>
      <c r="E82">
        <v>0.57999999999999996</v>
      </c>
      <c r="F82">
        <f t="shared" si="2"/>
        <v>0.45</v>
      </c>
      <c r="G82">
        <v>0</v>
      </c>
      <c r="H82">
        <v>20</v>
      </c>
      <c r="I82">
        <f t="shared" si="3"/>
        <v>9</v>
      </c>
      <c r="J82">
        <v>15</v>
      </c>
      <c r="K82">
        <v>22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7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 x14ac:dyDescent="0.35">
      <c r="A83" t="s">
        <v>9</v>
      </c>
      <c r="B83">
        <v>3</v>
      </c>
      <c r="C83" t="s">
        <v>47</v>
      </c>
      <c r="D83" t="s">
        <v>54</v>
      </c>
      <c r="E83">
        <v>0.89</v>
      </c>
      <c r="F83">
        <f t="shared" si="2"/>
        <v>0.7</v>
      </c>
      <c r="G83">
        <v>3</v>
      </c>
      <c r="H83">
        <v>20</v>
      </c>
      <c r="I83">
        <f t="shared" si="3"/>
        <v>11</v>
      </c>
      <c r="J83">
        <v>15</v>
      </c>
      <c r="K83">
        <v>29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5</v>
      </c>
      <c r="AA83">
        <v>0</v>
      </c>
      <c r="AB83">
        <v>0</v>
      </c>
      <c r="AC83">
        <v>0</v>
      </c>
      <c r="AD83">
        <v>0</v>
      </c>
      <c r="AE83">
        <v>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</v>
      </c>
      <c r="AM83">
        <v>0</v>
      </c>
      <c r="AN83">
        <v>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x14ac:dyDescent="0.35">
      <c r="A84" t="s">
        <v>9</v>
      </c>
      <c r="B84">
        <v>3</v>
      </c>
      <c r="C84" t="s">
        <v>47</v>
      </c>
      <c r="D84" t="s">
        <v>85</v>
      </c>
      <c r="E84">
        <v>0.92</v>
      </c>
      <c r="F84">
        <f t="shared" si="2"/>
        <v>0.85</v>
      </c>
      <c r="G84">
        <v>0</v>
      </c>
      <c r="H84">
        <v>20</v>
      </c>
      <c r="I84">
        <f t="shared" si="3"/>
        <v>17</v>
      </c>
      <c r="J84">
        <v>15</v>
      </c>
      <c r="K84">
        <v>22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7</v>
      </c>
      <c r="AC84">
        <v>0</v>
      </c>
      <c r="AD84">
        <v>0</v>
      </c>
      <c r="AE84">
        <v>8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35">
      <c r="A85" t="s">
        <v>9</v>
      </c>
      <c r="B85">
        <v>3</v>
      </c>
      <c r="C85" t="s">
        <v>47</v>
      </c>
      <c r="D85" t="s">
        <v>90</v>
      </c>
      <c r="E85">
        <v>0.7</v>
      </c>
      <c r="F85">
        <f t="shared" si="2"/>
        <v>0.1</v>
      </c>
      <c r="G85">
        <v>0</v>
      </c>
      <c r="H85">
        <v>20</v>
      </c>
      <c r="I85">
        <f t="shared" si="3"/>
        <v>2</v>
      </c>
      <c r="J85">
        <v>17</v>
      </c>
      <c r="K85">
        <v>17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35">
      <c r="A86" t="s">
        <v>9</v>
      </c>
      <c r="B86">
        <v>3</v>
      </c>
      <c r="C86" t="s">
        <v>47</v>
      </c>
      <c r="D86" t="s">
        <v>76</v>
      </c>
      <c r="E86">
        <v>0.8</v>
      </c>
      <c r="F86">
        <f t="shared" si="2"/>
        <v>0.45</v>
      </c>
      <c r="G86">
        <v>0</v>
      </c>
      <c r="H86">
        <v>20</v>
      </c>
      <c r="I86">
        <f t="shared" si="3"/>
        <v>9</v>
      </c>
      <c r="J86">
        <v>20</v>
      </c>
      <c r="K86">
        <v>27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</v>
      </c>
      <c r="AF86">
        <v>0</v>
      </c>
      <c r="AG86">
        <v>2</v>
      </c>
      <c r="AH86">
        <v>0</v>
      </c>
      <c r="AI86">
        <v>1</v>
      </c>
      <c r="AJ86">
        <v>0</v>
      </c>
      <c r="AK86">
        <v>0</v>
      </c>
      <c r="AL86">
        <v>3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</row>
    <row r="87" spans="1:56" x14ac:dyDescent="0.35">
      <c r="A87" t="s">
        <v>9</v>
      </c>
      <c r="B87">
        <v>3</v>
      </c>
      <c r="C87" t="s">
        <v>47</v>
      </c>
      <c r="D87" t="s">
        <v>86</v>
      </c>
      <c r="E87">
        <v>0.89</v>
      </c>
      <c r="F87">
        <f t="shared" si="2"/>
        <v>0.65</v>
      </c>
      <c r="G87">
        <v>0</v>
      </c>
      <c r="H87">
        <v>20</v>
      </c>
      <c r="I87">
        <f t="shared" si="3"/>
        <v>13</v>
      </c>
      <c r="J87">
        <v>10</v>
      </c>
      <c r="K87">
        <v>22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8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x14ac:dyDescent="0.35">
      <c r="A88" t="s">
        <v>9</v>
      </c>
      <c r="B88">
        <v>3</v>
      </c>
      <c r="C88" t="s">
        <v>47</v>
      </c>
      <c r="D88" t="s">
        <v>77</v>
      </c>
      <c r="E88">
        <v>0.83</v>
      </c>
      <c r="F88">
        <f t="shared" si="2"/>
        <v>0.75</v>
      </c>
      <c r="G88">
        <v>0</v>
      </c>
      <c r="H88">
        <v>20</v>
      </c>
      <c r="I88">
        <f t="shared" si="3"/>
        <v>15</v>
      </c>
      <c r="J88">
        <v>15</v>
      </c>
      <c r="K88">
        <v>33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</v>
      </c>
      <c r="AA88">
        <v>0</v>
      </c>
      <c r="AB88">
        <v>5</v>
      </c>
      <c r="AC88">
        <v>0</v>
      </c>
      <c r="AD88">
        <v>0</v>
      </c>
      <c r="AE88">
        <v>3</v>
      </c>
      <c r="AF88">
        <v>0</v>
      </c>
      <c r="AG88">
        <v>3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x14ac:dyDescent="0.35">
      <c r="A89" t="s">
        <v>9</v>
      </c>
      <c r="B89">
        <v>3</v>
      </c>
      <c r="C89" t="s">
        <v>47</v>
      </c>
      <c r="D89" t="s">
        <v>59</v>
      </c>
      <c r="E89">
        <v>0.91</v>
      </c>
      <c r="F89">
        <f t="shared" si="2"/>
        <v>0.9</v>
      </c>
      <c r="G89">
        <v>0</v>
      </c>
      <c r="H89">
        <v>20</v>
      </c>
      <c r="I89">
        <f t="shared" si="3"/>
        <v>18</v>
      </c>
      <c r="J89">
        <v>15</v>
      </c>
      <c r="K89">
        <v>22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15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</row>
    <row r="90" spans="1:56" x14ac:dyDescent="0.35">
      <c r="A90" t="s">
        <v>9</v>
      </c>
      <c r="B90">
        <v>3</v>
      </c>
      <c r="C90" t="s">
        <v>47</v>
      </c>
      <c r="D90" t="s">
        <v>63</v>
      </c>
      <c r="E90">
        <v>0.33</v>
      </c>
      <c r="F90">
        <f t="shared" si="2"/>
        <v>0</v>
      </c>
      <c r="G90">
        <v>0</v>
      </c>
      <c r="H90">
        <v>20</v>
      </c>
      <c r="I90">
        <f t="shared" si="3"/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35">
      <c r="A91" t="s">
        <v>9</v>
      </c>
      <c r="B91">
        <v>3</v>
      </c>
      <c r="C91" t="s">
        <v>47</v>
      </c>
      <c r="D91" t="s">
        <v>87</v>
      </c>
      <c r="E91">
        <v>0.89</v>
      </c>
      <c r="F91">
        <f t="shared" si="2"/>
        <v>0.9</v>
      </c>
      <c r="G91">
        <v>0</v>
      </c>
      <c r="H91">
        <v>20</v>
      </c>
      <c r="I91">
        <f t="shared" si="3"/>
        <v>18</v>
      </c>
      <c r="J91">
        <v>10</v>
      </c>
      <c r="K91">
        <v>22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16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C1BD-8C12-4F1C-974C-7D042A528CF1}">
  <dimension ref="A1:BC96"/>
  <sheetViews>
    <sheetView topLeftCell="H1" zoomScale="91" workbookViewId="0">
      <pane ySplit="1" topLeftCell="A73" activePane="bottomLeft" state="frozen"/>
      <selection activeCell="E1" sqref="E1"/>
      <selection pane="bottomLeft" activeCell="H1" sqref="H1:P1048576"/>
    </sheetView>
  </sheetViews>
  <sheetFormatPr defaultColWidth="8.81640625" defaultRowHeight="14.5" x14ac:dyDescent="0.35"/>
  <cols>
    <col min="1" max="1" width="11.1796875" bestFit="1" customWidth="1"/>
    <col min="3" max="3" width="14.453125" bestFit="1" customWidth="1"/>
    <col min="5" max="10" width="14.453125" customWidth="1"/>
    <col min="11" max="15" width="8.81640625" customWidth="1"/>
  </cols>
  <sheetData>
    <row r="1" spans="1:55" s="1" customFormat="1" ht="43.5" x14ac:dyDescent="0.35">
      <c r="A1" s="1" t="s">
        <v>1</v>
      </c>
      <c r="B1" s="1" t="s">
        <v>4</v>
      </c>
      <c r="C1" s="1" t="s">
        <v>0</v>
      </c>
      <c r="D1" s="1" t="s">
        <v>170</v>
      </c>
      <c r="E1" s="3" t="s">
        <v>122</v>
      </c>
      <c r="F1" s="3" t="s">
        <v>123</v>
      </c>
      <c r="G1" s="3" t="s">
        <v>174</v>
      </c>
      <c r="H1" s="3" t="s">
        <v>171</v>
      </c>
      <c r="I1" s="3" t="s">
        <v>172</v>
      </c>
      <c r="J1" s="3" t="s">
        <v>173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145</v>
      </c>
      <c r="AF1" s="1" t="s">
        <v>146</v>
      </c>
      <c r="AG1" s="1" t="s">
        <v>147</v>
      </c>
      <c r="AH1" s="1" t="s">
        <v>148</v>
      </c>
      <c r="AI1" s="1" t="s">
        <v>149</v>
      </c>
      <c r="AJ1" s="1" t="s">
        <v>150</v>
      </c>
      <c r="AK1" s="1" t="s">
        <v>151</v>
      </c>
      <c r="AL1" s="1" t="s">
        <v>152</v>
      </c>
      <c r="AM1" s="1" t="s">
        <v>153</v>
      </c>
      <c r="AN1" s="1" t="s">
        <v>154</v>
      </c>
      <c r="AO1" s="1" t="s">
        <v>155</v>
      </c>
      <c r="AP1" s="1" t="s">
        <v>156</v>
      </c>
      <c r="AQ1" s="1" t="s">
        <v>157</v>
      </c>
      <c r="AR1" s="1" t="s">
        <v>158</v>
      </c>
      <c r="AS1" s="1" t="s">
        <v>159</v>
      </c>
      <c r="AT1" s="1" t="s">
        <v>160</v>
      </c>
      <c r="AU1" s="1" t="s">
        <v>161</v>
      </c>
      <c r="AV1" s="1" t="s">
        <v>162</v>
      </c>
      <c r="AW1" s="1" t="s">
        <v>163</v>
      </c>
      <c r="AX1" s="1" t="s">
        <v>164</v>
      </c>
      <c r="AY1" s="1" t="s">
        <v>165</v>
      </c>
      <c r="AZ1" s="1" t="s">
        <v>166</v>
      </c>
      <c r="BA1" s="1" t="s">
        <v>167</v>
      </c>
      <c r="BB1" s="1" t="s">
        <v>168</v>
      </c>
      <c r="BC1" s="1" t="s">
        <v>169</v>
      </c>
    </row>
    <row r="2" spans="1:55" x14ac:dyDescent="0.35">
      <c r="A2" t="s">
        <v>3</v>
      </c>
      <c r="B2">
        <v>3</v>
      </c>
      <c r="C2" t="s">
        <v>48</v>
      </c>
      <c r="D2" t="s">
        <v>91</v>
      </c>
      <c r="E2" s="4">
        <v>0.64</v>
      </c>
      <c r="F2">
        <f>(G2+H2)/20</f>
        <v>0.4</v>
      </c>
      <c r="G2">
        <v>0</v>
      </c>
      <c r="H2">
        <f>SUM(L2:AW2)</f>
        <v>8</v>
      </c>
      <c r="I2">
        <v>6</v>
      </c>
      <c r="J2">
        <v>6</v>
      </c>
      <c r="K2">
        <v>0</v>
      </c>
      <c r="L2">
        <v>0</v>
      </c>
      <c r="M2">
        <v>0</v>
      </c>
      <c r="N2">
        <v>0</v>
      </c>
      <c r="O2">
        <v>0</v>
      </c>
      <c r="P2">
        <v>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35">
      <c r="B3">
        <v>3</v>
      </c>
      <c r="D3" t="s">
        <v>92</v>
      </c>
      <c r="E3">
        <v>0.87</v>
      </c>
      <c r="F3">
        <f t="shared" ref="F3:F66" si="0">(G3+H3)/20</f>
        <v>0.85</v>
      </c>
      <c r="G3">
        <v>0</v>
      </c>
      <c r="H3">
        <f t="shared" ref="H3:H66" si="1">SUM(K3:AW3)</f>
        <v>17</v>
      </c>
      <c r="I3">
        <v>6</v>
      </c>
      <c r="J3">
        <v>8</v>
      </c>
      <c r="K3">
        <v>0</v>
      </c>
      <c r="L3">
        <v>0</v>
      </c>
      <c r="M3">
        <v>0</v>
      </c>
      <c r="N3">
        <v>0</v>
      </c>
      <c r="O3">
        <v>0</v>
      </c>
      <c r="P3">
        <v>4</v>
      </c>
      <c r="Q3">
        <v>0</v>
      </c>
      <c r="R3">
        <v>13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35">
      <c r="B4">
        <v>3</v>
      </c>
      <c r="D4" t="s">
        <v>93</v>
      </c>
      <c r="E4">
        <v>0.82</v>
      </c>
      <c r="F4">
        <f t="shared" si="0"/>
        <v>0.85</v>
      </c>
      <c r="G4">
        <v>0</v>
      </c>
      <c r="H4">
        <f t="shared" si="1"/>
        <v>17</v>
      </c>
      <c r="I4">
        <v>8</v>
      </c>
      <c r="J4">
        <v>15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14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35">
      <c r="B5">
        <v>3</v>
      </c>
      <c r="D5" t="s">
        <v>94</v>
      </c>
      <c r="E5">
        <v>0.89</v>
      </c>
      <c r="F5">
        <f t="shared" si="0"/>
        <v>0.85</v>
      </c>
      <c r="G5">
        <v>0</v>
      </c>
      <c r="H5">
        <f t="shared" si="1"/>
        <v>17</v>
      </c>
      <c r="I5">
        <v>8</v>
      </c>
      <c r="J5">
        <v>10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8</v>
      </c>
      <c r="S5">
        <v>0</v>
      </c>
      <c r="T5">
        <v>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35">
      <c r="B6">
        <v>3</v>
      </c>
      <c r="D6" t="s">
        <v>95</v>
      </c>
      <c r="E6">
        <v>0.92</v>
      </c>
      <c r="F6">
        <f t="shared" si="0"/>
        <v>0.7</v>
      </c>
      <c r="G6">
        <v>0</v>
      </c>
      <c r="H6">
        <f t="shared" si="1"/>
        <v>14</v>
      </c>
      <c r="I6">
        <v>8</v>
      </c>
      <c r="J6">
        <v>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12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35">
      <c r="B7">
        <v>3</v>
      </c>
      <c r="D7" t="s">
        <v>96</v>
      </c>
      <c r="E7">
        <v>0.95</v>
      </c>
      <c r="F7">
        <f t="shared" si="0"/>
        <v>0.8</v>
      </c>
      <c r="G7">
        <v>0</v>
      </c>
      <c r="H7">
        <f t="shared" si="1"/>
        <v>16</v>
      </c>
      <c r="I7">
        <v>6</v>
      </c>
      <c r="J7">
        <v>10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14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35">
      <c r="B8">
        <v>3</v>
      </c>
      <c r="D8" t="s">
        <v>97</v>
      </c>
      <c r="E8">
        <v>0.93</v>
      </c>
      <c r="F8">
        <f t="shared" si="0"/>
        <v>0.9</v>
      </c>
      <c r="G8">
        <v>0</v>
      </c>
      <c r="H8">
        <f t="shared" si="1"/>
        <v>18</v>
      </c>
      <c r="I8">
        <v>8</v>
      </c>
      <c r="J8">
        <v>15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35">
      <c r="B9">
        <v>3</v>
      </c>
      <c r="D9" t="s">
        <v>98</v>
      </c>
      <c r="E9">
        <v>0.93</v>
      </c>
      <c r="F9">
        <f t="shared" si="0"/>
        <v>0.75</v>
      </c>
      <c r="G9">
        <v>0</v>
      </c>
      <c r="H9">
        <f t="shared" si="1"/>
        <v>15</v>
      </c>
      <c r="I9">
        <v>6</v>
      </c>
      <c r="J9">
        <v>10</v>
      </c>
      <c r="K9">
        <v>0</v>
      </c>
      <c r="L9">
        <v>0</v>
      </c>
      <c r="M9">
        <v>0</v>
      </c>
      <c r="N9">
        <v>0</v>
      </c>
      <c r="O9">
        <v>0</v>
      </c>
      <c r="P9">
        <v>5</v>
      </c>
      <c r="Q9">
        <v>0</v>
      </c>
      <c r="R9">
        <v>9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35">
      <c r="B10">
        <v>3</v>
      </c>
      <c r="D10" t="s">
        <v>99</v>
      </c>
      <c r="E10">
        <v>0.93</v>
      </c>
      <c r="F10">
        <f t="shared" si="0"/>
        <v>0.9</v>
      </c>
      <c r="G10">
        <v>0</v>
      </c>
      <c r="H10">
        <f t="shared" si="1"/>
        <v>18</v>
      </c>
      <c r="I10">
        <v>6</v>
      </c>
      <c r="J10">
        <v>8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35">
      <c r="B11">
        <v>3</v>
      </c>
      <c r="D11" t="s">
        <v>100</v>
      </c>
      <c r="E11">
        <v>0.93</v>
      </c>
      <c r="F11">
        <f t="shared" si="0"/>
        <v>0.85</v>
      </c>
      <c r="G11">
        <v>0</v>
      </c>
      <c r="H11">
        <f t="shared" si="1"/>
        <v>17</v>
      </c>
      <c r="I11">
        <v>6</v>
      </c>
      <c r="J11">
        <v>15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14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 x14ac:dyDescent="0.35">
      <c r="B12">
        <v>3</v>
      </c>
      <c r="D12" t="s">
        <v>101</v>
      </c>
      <c r="E12">
        <v>0.85</v>
      </c>
      <c r="F12">
        <f t="shared" si="0"/>
        <v>0.8</v>
      </c>
      <c r="G12">
        <v>0</v>
      </c>
      <c r="H12">
        <f t="shared" si="1"/>
        <v>16</v>
      </c>
      <c r="I12">
        <v>8</v>
      </c>
      <c r="J12">
        <v>33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 s="2">
        <v>0</v>
      </c>
      <c r="AQ12" s="2">
        <v>1</v>
      </c>
      <c r="AR12" s="2">
        <v>0</v>
      </c>
      <c r="AS12" s="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35">
      <c r="B13">
        <v>3</v>
      </c>
      <c r="D13" t="s">
        <v>102</v>
      </c>
      <c r="E13">
        <v>0.8</v>
      </c>
      <c r="F13">
        <f t="shared" si="0"/>
        <v>0.9</v>
      </c>
      <c r="G13">
        <v>0</v>
      </c>
      <c r="H13">
        <f t="shared" si="1"/>
        <v>18</v>
      </c>
      <c r="I13">
        <v>8</v>
      </c>
      <c r="J13">
        <v>15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10</v>
      </c>
      <c r="S13">
        <v>0</v>
      </c>
      <c r="T13">
        <v>6</v>
      </c>
      <c r="U13">
        <v>0</v>
      </c>
      <c r="V13">
        <v>0</v>
      </c>
      <c r="W13">
        <v>0</v>
      </c>
      <c r="X13">
        <v>0</v>
      </c>
      <c r="Y13">
        <v>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35">
      <c r="B14">
        <v>3</v>
      </c>
      <c r="D14" t="s">
        <v>103</v>
      </c>
      <c r="E14">
        <v>0.92</v>
      </c>
      <c r="F14">
        <f t="shared" si="0"/>
        <v>0.7</v>
      </c>
      <c r="G14">
        <v>0</v>
      </c>
      <c r="H14">
        <f t="shared" si="1"/>
        <v>14</v>
      </c>
      <c r="I14">
        <v>6</v>
      </c>
      <c r="J14">
        <v>8</v>
      </c>
      <c r="K14">
        <v>0</v>
      </c>
      <c r="L14">
        <v>0</v>
      </c>
      <c r="M14">
        <v>0</v>
      </c>
      <c r="N14">
        <v>0</v>
      </c>
      <c r="O14">
        <v>0</v>
      </c>
      <c r="P14">
        <v>8</v>
      </c>
      <c r="Q14">
        <v>0</v>
      </c>
      <c r="R14">
        <v>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35">
      <c r="B15">
        <v>3</v>
      </c>
      <c r="D15" t="s">
        <v>104</v>
      </c>
      <c r="E15">
        <v>0.86</v>
      </c>
      <c r="F15">
        <f t="shared" si="0"/>
        <v>0.9</v>
      </c>
      <c r="G15">
        <v>0</v>
      </c>
      <c r="H15">
        <f t="shared" si="1"/>
        <v>18</v>
      </c>
      <c r="I15">
        <v>8</v>
      </c>
      <c r="J15">
        <v>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 x14ac:dyDescent="0.35">
      <c r="B16">
        <v>3</v>
      </c>
      <c r="D16" t="s">
        <v>105</v>
      </c>
      <c r="E16" s="5">
        <v>0.91</v>
      </c>
      <c r="F16">
        <f t="shared" si="0"/>
        <v>0.8</v>
      </c>
      <c r="G16">
        <v>0</v>
      </c>
      <c r="H16">
        <f t="shared" si="1"/>
        <v>16</v>
      </c>
      <c r="I16">
        <v>6</v>
      </c>
      <c r="J16">
        <v>8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0</v>
      </c>
      <c r="R16">
        <v>13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35">
      <c r="A17" t="s">
        <v>5</v>
      </c>
      <c r="B17">
        <v>3</v>
      </c>
      <c r="C17" t="s">
        <v>48</v>
      </c>
      <c r="D17" t="s">
        <v>106</v>
      </c>
      <c r="E17" s="6">
        <v>0.67</v>
      </c>
      <c r="F17">
        <f t="shared" si="0"/>
        <v>0.5</v>
      </c>
      <c r="G17" s="6">
        <v>0</v>
      </c>
      <c r="H17">
        <f t="shared" si="1"/>
        <v>10</v>
      </c>
      <c r="I17">
        <v>6</v>
      </c>
      <c r="J17">
        <v>15</v>
      </c>
      <c r="K17">
        <v>0</v>
      </c>
      <c r="L17">
        <v>0</v>
      </c>
      <c r="M17">
        <v>0</v>
      </c>
      <c r="N17">
        <v>0</v>
      </c>
      <c r="O17">
        <v>0</v>
      </c>
      <c r="P17">
        <v>4</v>
      </c>
      <c r="Q17">
        <v>0</v>
      </c>
      <c r="R17">
        <v>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5">
      <c r="B18">
        <v>3</v>
      </c>
      <c r="D18" t="s">
        <v>107</v>
      </c>
      <c r="E18">
        <v>0.82</v>
      </c>
      <c r="F18">
        <f t="shared" si="0"/>
        <v>0.55000000000000004</v>
      </c>
      <c r="G18">
        <v>0</v>
      </c>
      <c r="H18">
        <f t="shared" si="1"/>
        <v>11</v>
      </c>
      <c r="I18">
        <v>6</v>
      </c>
      <c r="J18">
        <v>8</v>
      </c>
      <c r="K18">
        <v>0</v>
      </c>
      <c r="L18">
        <v>0</v>
      </c>
      <c r="M18">
        <v>0</v>
      </c>
      <c r="N18">
        <v>0</v>
      </c>
      <c r="O18">
        <v>0</v>
      </c>
      <c r="P18">
        <v>4</v>
      </c>
      <c r="Q18">
        <v>0</v>
      </c>
      <c r="R18">
        <v>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35">
      <c r="B19">
        <v>3</v>
      </c>
      <c r="D19" t="s">
        <v>108</v>
      </c>
      <c r="E19">
        <v>0.87</v>
      </c>
      <c r="F19">
        <f t="shared" si="0"/>
        <v>0.85</v>
      </c>
      <c r="G19">
        <v>0</v>
      </c>
      <c r="H19">
        <f t="shared" si="1"/>
        <v>17</v>
      </c>
      <c r="I19">
        <v>8</v>
      </c>
      <c r="J19">
        <v>10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14</v>
      </c>
      <c r="S19">
        <v>0</v>
      </c>
      <c r="T19">
        <v>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35">
      <c r="B20">
        <v>3</v>
      </c>
      <c r="D20" t="s">
        <v>93</v>
      </c>
      <c r="E20">
        <v>0.82</v>
      </c>
      <c r="F20">
        <f t="shared" si="0"/>
        <v>0.9</v>
      </c>
      <c r="G20">
        <v>0</v>
      </c>
      <c r="H20">
        <f t="shared" si="1"/>
        <v>18</v>
      </c>
      <c r="I20">
        <v>6</v>
      </c>
      <c r="J20">
        <v>10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0</v>
      </c>
      <c r="R20">
        <v>12</v>
      </c>
      <c r="S20">
        <v>0</v>
      </c>
      <c r="T20">
        <v>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 s="7" customFormat="1" x14ac:dyDescent="0.35">
      <c r="B21" s="7">
        <v>3</v>
      </c>
      <c r="D21" s="7" t="s">
        <v>109</v>
      </c>
      <c r="E21" s="7">
        <v>0.93</v>
      </c>
      <c r="F21">
        <f t="shared" si="0"/>
        <v>0.75</v>
      </c>
      <c r="G21" s="7">
        <v>0</v>
      </c>
      <c r="H21" s="7">
        <f t="shared" si="1"/>
        <v>15</v>
      </c>
      <c r="I21" s="7">
        <v>6</v>
      </c>
      <c r="J21" s="7">
        <v>10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4</v>
      </c>
      <c r="Q21" s="7">
        <v>0</v>
      </c>
      <c r="R21" s="7">
        <v>9</v>
      </c>
      <c r="S21" s="7">
        <v>0</v>
      </c>
      <c r="T21" s="7">
        <v>2</v>
      </c>
      <c r="U21" s="7">
        <v>0</v>
      </c>
      <c r="V21" s="7">
        <v>0</v>
      </c>
      <c r="W21" s="7">
        <v>0</v>
      </c>
      <c r="X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7">
        <v>0</v>
      </c>
      <c r="AU21" s="7">
        <v>0</v>
      </c>
      <c r="AV21" s="7">
        <v>0</v>
      </c>
      <c r="AW21" s="7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35">
      <c r="B22">
        <v>3</v>
      </c>
      <c r="D22" t="s">
        <v>96</v>
      </c>
      <c r="E22">
        <v>0.95</v>
      </c>
      <c r="F22">
        <f t="shared" si="0"/>
        <v>0.95</v>
      </c>
      <c r="G22">
        <v>0</v>
      </c>
      <c r="H22">
        <f t="shared" si="1"/>
        <v>19</v>
      </c>
      <c r="I22">
        <v>8</v>
      </c>
      <c r="J22">
        <v>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35">
      <c r="B23">
        <v>3</v>
      </c>
      <c r="D23" t="s">
        <v>97</v>
      </c>
      <c r="E23">
        <v>0.93</v>
      </c>
      <c r="F23">
        <f t="shared" si="0"/>
        <v>0.8</v>
      </c>
      <c r="G23">
        <v>0</v>
      </c>
      <c r="H23">
        <f t="shared" si="1"/>
        <v>16</v>
      </c>
      <c r="I23">
        <v>8</v>
      </c>
      <c r="J23">
        <v>20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4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 x14ac:dyDescent="0.35">
      <c r="B24">
        <v>3</v>
      </c>
      <c r="D24" t="s">
        <v>98</v>
      </c>
      <c r="E24">
        <v>0.93</v>
      </c>
      <c r="F24">
        <f t="shared" si="0"/>
        <v>0.75</v>
      </c>
      <c r="G24">
        <v>0</v>
      </c>
      <c r="H24">
        <f t="shared" si="1"/>
        <v>15</v>
      </c>
      <c r="I24">
        <v>8</v>
      </c>
      <c r="J24">
        <v>15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10</v>
      </c>
      <c r="S24">
        <v>0</v>
      </c>
      <c r="T24">
        <v>4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 x14ac:dyDescent="0.35">
      <c r="B25">
        <v>3</v>
      </c>
      <c r="D25" t="s">
        <v>100</v>
      </c>
      <c r="E25">
        <v>0.93</v>
      </c>
      <c r="F25">
        <f t="shared" si="0"/>
        <v>0.9</v>
      </c>
      <c r="G25">
        <v>0</v>
      </c>
      <c r="H25">
        <f t="shared" si="1"/>
        <v>18</v>
      </c>
      <c r="I25">
        <v>6</v>
      </c>
      <c r="J25">
        <v>8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0</v>
      </c>
      <c r="R25">
        <v>16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x14ac:dyDescent="0.35">
      <c r="B26">
        <v>3</v>
      </c>
      <c r="D26" t="s">
        <v>101</v>
      </c>
      <c r="E26">
        <v>0.85</v>
      </c>
      <c r="F26">
        <f t="shared" si="0"/>
        <v>0.9</v>
      </c>
      <c r="G26">
        <v>0</v>
      </c>
      <c r="H26">
        <f t="shared" si="1"/>
        <v>18</v>
      </c>
      <c r="I26">
        <v>6</v>
      </c>
      <c r="J26">
        <v>10</v>
      </c>
      <c r="K26">
        <v>0</v>
      </c>
      <c r="L26">
        <v>0</v>
      </c>
      <c r="M26">
        <v>0</v>
      </c>
      <c r="N26">
        <v>0</v>
      </c>
      <c r="O26">
        <v>0</v>
      </c>
      <c r="P26">
        <v>4</v>
      </c>
      <c r="Q26">
        <v>0</v>
      </c>
      <c r="R26">
        <v>13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35">
      <c r="B27">
        <v>3</v>
      </c>
      <c r="D27" t="s">
        <v>110</v>
      </c>
      <c r="E27">
        <v>0.96</v>
      </c>
      <c r="F27">
        <f t="shared" si="0"/>
        <v>0.95</v>
      </c>
      <c r="G27">
        <v>0</v>
      </c>
      <c r="H27">
        <f t="shared" si="1"/>
        <v>19</v>
      </c>
      <c r="I27">
        <v>6</v>
      </c>
      <c r="J27">
        <v>10</v>
      </c>
      <c r="K27">
        <v>0</v>
      </c>
      <c r="L27">
        <v>0</v>
      </c>
      <c r="M27">
        <v>0</v>
      </c>
      <c r="N27">
        <v>0</v>
      </c>
      <c r="O27">
        <v>0</v>
      </c>
      <c r="P27">
        <v>8</v>
      </c>
      <c r="Q27">
        <v>0</v>
      </c>
      <c r="R27">
        <v>10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35">
      <c r="B28">
        <v>3</v>
      </c>
      <c r="D28" t="s">
        <v>111</v>
      </c>
      <c r="E28" s="6">
        <v>0.83</v>
      </c>
      <c r="F28">
        <f t="shared" si="0"/>
        <v>0.8</v>
      </c>
      <c r="G28" s="6">
        <v>0</v>
      </c>
      <c r="H28">
        <f t="shared" si="1"/>
        <v>16</v>
      </c>
      <c r="I28">
        <v>8</v>
      </c>
      <c r="J28">
        <v>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 x14ac:dyDescent="0.35">
      <c r="B29">
        <v>3</v>
      </c>
      <c r="D29" t="s">
        <v>112</v>
      </c>
      <c r="E29">
        <v>0.52</v>
      </c>
      <c r="F29">
        <f t="shared" si="0"/>
        <v>0.8</v>
      </c>
      <c r="G29">
        <v>0</v>
      </c>
      <c r="H29">
        <f t="shared" si="1"/>
        <v>16</v>
      </c>
      <c r="I29">
        <v>6</v>
      </c>
      <c r="J29">
        <v>15</v>
      </c>
      <c r="K29">
        <v>0</v>
      </c>
      <c r="L29">
        <v>0</v>
      </c>
      <c r="M29">
        <v>0</v>
      </c>
      <c r="N29">
        <v>0</v>
      </c>
      <c r="O29">
        <v>0</v>
      </c>
      <c r="P29">
        <v>5</v>
      </c>
      <c r="Q29">
        <v>0</v>
      </c>
      <c r="R29">
        <v>10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5">
      <c r="B30">
        <v>3</v>
      </c>
      <c r="D30" t="s">
        <v>102</v>
      </c>
      <c r="E30">
        <v>0.8</v>
      </c>
      <c r="F30">
        <f t="shared" si="0"/>
        <v>0.85</v>
      </c>
      <c r="G30">
        <v>0</v>
      </c>
      <c r="H30">
        <f t="shared" si="1"/>
        <v>17</v>
      </c>
      <c r="I30">
        <v>8</v>
      </c>
      <c r="J30">
        <v>10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14</v>
      </c>
      <c r="S30">
        <v>0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 x14ac:dyDescent="0.35">
      <c r="B31">
        <v>3</v>
      </c>
      <c r="D31" t="s">
        <v>113</v>
      </c>
      <c r="E31" s="5">
        <v>0.89</v>
      </c>
      <c r="F31">
        <f t="shared" si="0"/>
        <v>0.9</v>
      </c>
      <c r="G31">
        <v>0</v>
      </c>
      <c r="H31">
        <f t="shared" si="1"/>
        <v>18</v>
      </c>
      <c r="I31">
        <v>6</v>
      </c>
      <c r="J31">
        <v>8</v>
      </c>
      <c r="K31">
        <v>0</v>
      </c>
      <c r="L31">
        <v>0</v>
      </c>
      <c r="M31">
        <v>0</v>
      </c>
      <c r="N31">
        <v>0</v>
      </c>
      <c r="O31">
        <v>0</v>
      </c>
      <c r="P31">
        <v>17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 x14ac:dyDescent="0.35">
      <c r="A32" t="s">
        <v>6</v>
      </c>
      <c r="B32">
        <v>3</v>
      </c>
      <c r="C32" t="s">
        <v>48</v>
      </c>
      <c r="D32" t="s">
        <v>106</v>
      </c>
      <c r="E32">
        <v>0.67</v>
      </c>
      <c r="F32">
        <f t="shared" si="0"/>
        <v>0.65</v>
      </c>
      <c r="G32">
        <v>0</v>
      </c>
      <c r="H32">
        <f t="shared" si="1"/>
        <v>13</v>
      </c>
      <c r="I32">
        <v>10</v>
      </c>
      <c r="J32">
        <v>15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9</v>
      </c>
      <c r="U32">
        <v>0</v>
      </c>
      <c r="V32">
        <v>0</v>
      </c>
      <c r="W32">
        <v>0</v>
      </c>
      <c r="X32">
        <v>0</v>
      </c>
      <c r="Y32">
        <v>4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 x14ac:dyDescent="0.35">
      <c r="B33">
        <v>3</v>
      </c>
      <c r="D33" t="s">
        <v>108</v>
      </c>
      <c r="E33">
        <v>0.87</v>
      </c>
      <c r="F33">
        <f t="shared" si="0"/>
        <v>0.9</v>
      </c>
      <c r="G33">
        <v>0</v>
      </c>
      <c r="H33">
        <f t="shared" si="1"/>
        <v>18</v>
      </c>
      <c r="I33">
        <v>10</v>
      </c>
      <c r="J33">
        <v>15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</v>
      </c>
      <c r="U33">
        <v>0</v>
      </c>
      <c r="V33">
        <v>0</v>
      </c>
      <c r="W33">
        <v>0</v>
      </c>
      <c r="X33">
        <v>0</v>
      </c>
      <c r="Y33">
        <v>10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 x14ac:dyDescent="0.35">
      <c r="B34">
        <v>3</v>
      </c>
      <c r="D34" t="s">
        <v>95</v>
      </c>
      <c r="E34">
        <v>0.92</v>
      </c>
      <c r="F34">
        <f t="shared" si="0"/>
        <v>0.8</v>
      </c>
      <c r="G34">
        <v>0</v>
      </c>
      <c r="H34">
        <f t="shared" si="1"/>
        <v>16</v>
      </c>
      <c r="I34">
        <v>10</v>
      </c>
      <c r="J34">
        <v>17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</v>
      </c>
      <c r="U34">
        <v>0</v>
      </c>
      <c r="V34">
        <v>0</v>
      </c>
      <c r="W34">
        <v>0</v>
      </c>
      <c r="X34">
        <v>0</v>
      </c>
      <c r="Y34">
        <v>11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 s="7" customFormat="1" x14ac:dyDescent="0.35">
      <c r="B35" s="7">
        <v>3</v>
      </c>
      <c r="D35" s="7" t="s">
        <v>109</v>
      </c>
      <c r="E35" s="7">
        <v>0.93</v>
      </c>
      <c r="F35">
        <f t="shared" si="0"/>
        <v>0.75</v>
      </c>
      <c r="G35" s="7">
        <v>0</v>
      </c>
      <c r="H35" s="7">
        <f t="shared" si="1"/>
        <v>15</v>
      </c>
      <c r="I35" s="7">
        <v>15</v>
      </c>
      <c r="J35" s="7">
        <v>15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15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7">
        <v>0</v>
      </c>
      <c r="AU35" s="7">
        <v>0</v>
      </c>
      <c r="AV35" s="7">
        <v>0</v>
      </c>
      <c r="AW35" s="7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 x14ac:dyDescent="0.35">
      <c r="B36">
        <v>3</v>
      </c>
      <c r="D36" t="s">
        <v>96</v>
      </c>
      <c r="E36">
        <v>0.95</v>
      </c>
      <c r="F36">
        <f t="shared" si="0"/>
        <v>0.95</v>
      </c>
      <c r="G36">
        <v>0</v>
      </c>
      <c r="H36">
        <f t="shared" si="1"/>
        <v>19</v>
      </c>
      <c r="I36">
        <v>10</v>
      </c>
      <c r="J36">
        <v>15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12</v>
      </c>
      <c r="U36">
        <v>0</v>
      </c>
      <c r="V36">
        <v>0</v>
      </c>
      <c r="W36">
        <v>0</v>
      </c>
      <c r="X36">
        <v>0</v>
      </c>
      <c r="Y36">
        <v>7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 x14ac:dyDescent="0.35">
      <c r="B37">
        <v>3</v>
      </c>
      <c r="D37" t="s">
        <v>97</v>
      </c>
      <c r="E37">
        <v>0.93</v>
      </c>
      <c r="F37">
        <f t="shared" si="0"/>
        <v>0.9</v>
      </c>
      <c r="G37">
        <v>0</v>
      </c>
      <c r="H37">
        <f t="shared" si="1"/>
        <v>18</v>
      </c>
      <c r="I37">
        <v>10</v>
      </c>
      <c r="J37">
        <v>20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</v>
      </c>
      <c r="U37">
        <v>0</v>
      </c>
      <c r="V37">
        <v>0</v>
      </c>
      <c r="W37">
        <v>0</v>
      </c>
      <c r="X37">
        <v>0</v>
      </c>
      <c r="Y37">
        <v>7</v>
      </c>
      <c r="Z37">
        <v>0</v>
      </c>
      <c r="AA37">
        <v>1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 x14ac:dyDescent="0.35">
      <c r="B38">
        <v>3</v>
      </c>
      <c r="D38" t="s">
        <v>98</v>
      </c>
      <c r="E38">
        <v>0.93</v>
      </c>
      <c r="F38">
        <f t="shared" si="0"/>
        <v>1</v>
      </c>
      <c r="G38">
        <v>0</v>
      </c>
      <c r="H38">
        <f t="shared" si="1"/>
        <v>20</v>
      </c>
      <c r="I38">
        <v>10</v>
      </c>
      <c r="J38">
        <v>15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</v>
      </c>
      <c r="U38">
        <v>0</v>
      </c>
      <c r="V38">
        <v>0</v>
      </c>
      <c r="W38">
        <v>0</v>
      </c>
      <c r="X38">
        <v>0</v>
      </c>
      <c r="Y38">
        <v>15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 spans="1:55" x14ac:dyDescent="0.35">
      <c r="B39">
        <v>3</v>
      </c>
      <c r="D39" t="s">
        <v>99</v>
      </c>
      <c r="E39">
        <v>0.93</v>
      </c>
      <c r="F39">
        <f t="shared" si="0"/>
        <v>0.8</v>
      </c>
      <c r="G39">
        <v>0</v>
      </c>
      <c r="H39">
        <f t="shared" si="1"/>
        <v>16</v>
      </c>
      <c r="I39">
        <v>10</v>
      </c>
      <c r="J39">
        <v>15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</v>
      </c>
      <c r="U39">
        <v>0</v>
      </c>
      <c r="V39">
        <v>0</v>
      </c>
      <c r="W39">
        <v>0</v>
      </c>
      <c r="X39">
        <v>0</v>
      </c>
      <c r="Y39">
        <v>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 x14ac:dyDescent="0.35">
      <c r="B40">
        <v>3</v>
      </c>
      <c r="D40" t="s">
        <v>100</v>
      </c>
      <c r="E40">
        <v>0.93</v>
      </c>
      <c r="F40">
        <f t="shared" si="0"/>
        <v>0.9</v>
      </c>
      <c r="G40">
        <v>0</v>
      </c>
      <c r="H40">
        <f t="shared" si="1"/>
        <v>18</v>
      </c>
      <c r="I40">
        <v>10</v>
      </c>
      <c r="J40">
        <v>15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</v>
      </c>
      <c r="U40">
        <v>0</v>
      </c>
      <c r="V40">
        <v>0</v>
      </c>
      <c r="W40">
        <v>0</v>
      </c>
      <c r="X40">
        <v>0</v>
      </c>
      <c r="Y40">
        <v>15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 x14ac:dyDescent="0.35">
      <c r="B41">
        <v>3</v>
      </c>
      <c r="D41" t="s">
        <v>101</v>
      </c>
      <c r="E41">
        <v>0.85</v>
      </c>
      <c r="F41">
        <f t="shared" si="0"/>
        <v>0.75</v>
      </c>
      <c r="G41">
        <v>0</v>
      </c>
      <c r="H41">
        <f t="shared" si="1"/>
        <v>15</v>
      </c>
      <c r="I41">
        <v>10</v>
      </c>
      <c r="J41">
        <v>15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0</v>
      </c>
      <c r="V41">
        <v>0</v>
      </c>
      <c r="W41">
        <v>0</v>
      </c>
      <c r="X41">
        <v>0</v>
      </c>
      <c r="Y41">
        <v>13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 x14ac:dyDescent="0.35">
      <c r="B42">
        <v>3</v>
      </c>
      <c r="D42" t="s">
        <v>110</v>
      </c>
      <c r="E42">
        <v>0.96</v>
      </c>
      <c r="F42">
        <f t="shared" si="0"/>
        <v>0.9</v>
      </c>
      <c r="G42">
        <v>0</v>
      </c>
      <c r="H42">
        <f t="shared" si="1"/>
        <v>18</v>
      </c>
      <c r="I42">
        <v>10</v>
      </c>
      <c r="J42">
        <v>15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6</v>
      </c>
      <c r="U42">
        <v>0</v>
      </c>
      <c r="V42">
        <v>0</v>
      </c>
      <c r="W42">
        <v>0</v>
      </c>
      <c r="X42">
        <v>0</v>
      </c>
      <c r="Y42">
        <v>12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 x14ac:dyDescent="0.35">
      <c r="B43">
        <v>3</v>
      </c>
      <c r="D43" t="s">
        <v>114</v>
      </c>
      <c r="E43">
        <v>0.65</v>
      </c>
      <c r="F43">
        <f t="shared" si="0"/>
        <v>0.65</v>
      </c>
      <c r="G43">
        <v>0</v>
      </c>
      <c r="H43">
        <f t="shared" si="1"/>
        <v>13</v>
      </c>
      <c r="I43">
        <v>8</v>
      </c>
      <c r="J43">
        <v>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</v>
      </c>
      <c r="S43">
        <v>0</v>
      </c>
      <c r="T43">
        <v>8</v>
      </c>
      <c r="U43">
        <v>0</v>
      </c>
      <c r="V43">
        <v>0</v>
      </c>
      <c r="W43">
        <v>0</v>
      </c>
      <c r="X43">
        <v>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 x14ac:dyDescent="0.35">
      <c r="B44">
        <v>3</v>
      </c>
      <c r="D44" t="s">
        <v>112</v>
      </c>
      <c r="E44">
        <v>0.52</v>
      </c>
      <c r="F44">
        <f t="shared" si="0"/>
        <v>0.65</v>
      </c>
      <c r="G44">
        <v>0</v>
      </c>
      <c r="H44">
        <f t="shared" si="1"/>
        <v>13</v>
      </c>
      <c r="I44">
        <v>8</v>
      </c>
      <c r="J44">
        <v>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 x14ac:dyDescent="0.35">
      <c r="B45">
        <v>3</v>
      </c>
      <c r="D45" t="s">
        <v>102</v>
      </c>
      <c r="E45">
        <v>0.8</v>
      </c>
      <c r="F45">
        <f t="shared" si="0"/>
        <v>0.85</v>
      </c>
      <c r="G45">
        <v>0</v>
      </c>
      <c r="H45">
        <f t="shared" si="1"/>
        <v>17</v>
      </c>
      <c r="I45">
        <v>8</v>
      </c>
      <c r="J45">
        <v>15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3</v>
      </c>
      <c r="U45">
        <v>0</v>
      </c>
      <c r="V45">
        <v>0</v>
      </c>
      <c r="W45">
        <v>0</v>
      </c>
      <c r="X45">
        <v>0</v>
      </c>
      <c r="Y45">
        <v>13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1:55" x14ac:dyDescent="0.35">
      <c r="B46">
        <v>3</v>
      </c>
      <c r="D46" t="s">
        <v>103</v>
      </c>
      <c r="E46" s="5">
        <v>0.92</v>
      </c>
      <c r="F46">
        <f t="shared" si="0"/>
        <v>0.65</v>
      </c>
      <c r="G46">
        <v>0</v>
      </c>
      <c r="H46">
        <f t="shared" si="1"/>
        <v>13</v>
      </c>
      <c r="I46">
        <v>8</v>
      </c>
      <c r="J46">
        <v>17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 x14ac:dyDescent="0.35">
      <c r="A47" t="s">
        <v>7</v>
      </c>
      <c r="B47">
        <v>3</v>
      </c>
      <c r="C47" t="s">
        <v>48</v>
      </c>
      <c r="D47" t="s">
        <v>115</v>
      </c>
      <c r="E47">
        <v>0.84</v>
      </c>
      <c r="F47">
        <f t="shared" si="0"/>
        <v>0.95</v>
      </c>
      <c r="G47">
        <v>0</v>
      </c>
      <c r="H47">
        <f t="shared" si="1"/>
        <v>19</v>
      </c>
      <c r="I47">
        <v>6</v>
      </c>
      <c r="J47">
        <v>15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16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 s="7" customFormat="1" x14ac:dyDescent="0.35">
      <c r="B48" s="7">
        <v>3</v>
      </c>
      <c r="D48" s="7" t="s">
        <v>116</v>
      </c>
      <c r="E48" s="7">
        <v>0.92</v>
      </c>
      <c r="F48">
        <f t="shared" si="0"/>
        <v>1</v>
      </c>
      <c r="G48" s="7">
        <v>0</v>
      </c>
      <c r="H48" s="7">
        <f t="shared" si="1"/>
        <v>20</v>
      </c>
      <c r="I48" s="7">
        <v>6</v>
      </c>
      <c r="J48" s="7">
        <v>10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4</v>
      </c>
      <c r="Q48" s="7">
        <v>0</v>
      </c>
      <c r="R48" s="7">
        <v>14</v>
      </c>
      <c r="S48" s="7">
        <v>0</v>
      </c>
      <c r="T48" s="7">
        <v>2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7">
        <v>0</v>
      </c>
      <c r="AU48" s="7">
        <v>0</v>
      </c>
      <c r="AV48" s="7">
        <v>0</v>
      </c>
      <c r="AW48" s="7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5" x14ac:dyDescent="0.35">
      <c r="B49">
        <v>3</v>
      </c>
      <c r="D49" t="s">
        <v>108</v>
      </c>
      <c r="E49">
        <v>0.87</v>
      </c>
      <c r="F49">
        <f t="shared" si="0"/>
        <v>0.85</v>
      </c>
      <c r="G49">
        <v>0</v>
      </c>
      <c r="H49">
        <f t="shared" si="1"/>
        <v>17</v>
      </c>
      <c r="I49">
        <v>8</v>
      </c>
      <c r="J49">
        <v>10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13</v>
      </c>
      <c r="S49">
        <v>0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 x14ac:dyDescent="0.35">
      <c r="B50">
        <v>3</v>
      </c>
      <c r="D50" t="s">
        <v>117</v>
      </c>
      <c r="E50">
        <v>0.74</v>
      </c>
      <c r="F50">
        <f t="shared" si="0"/>
        <v>0.65</v>
      </c>
      <c r="G50">
        <v>0</v>
      </c>
      <c r="H50">
        <f t="shared" si="1"/>
        <v>13</v>
      </c>
      <c r="I50">
        <v>8</v>
      </c>
      <c r="J50">
        <v>15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8</v>
      </c>
      <c r="S50">
        <v>0</v>
      </c>
      <c r="T50">
        <v>4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5" x14ac:dyDescent="0.35">
      <c r="B51">
        <v>3</v>
      </c>
      <c r="D51" t="s">
        <v>118</v>
      </c>
      <c r="E51">
        <v>0.64</v>
      </c>
      <c r="F51">
        <f t="shared" si="0"/>
        <v>0.25</v>
      </c>
      <c r="G51">
        <v>0</v>
      </c>
      <c r="H51">
        <f t="shared" si="1"/>
        <v>5</v>
      </c>
      <c r="I51">
        <v>15</v>
      </c>
      <c r="J51">
        <v>15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 x14ac:dyDescent="0.35">
      <c r="B52">
        <v>3</v>
      </c>
      <c r="D52" t="s">
        <v>93</v>
      </c>
      <c r="E52">
        <v>0.82</v>
      </c>
      <c r="F52">
        <f t="shared" si="0"/>
        <v>0.95</v>
      </c>
      <c r="G52">
        <v>0</v>
      </c>
      <c r="H52">
        <f t="shared" si="1"/>
        <v>19</v>
      </c>
      <c r="I52">
        <v>8</v>
      </c>
      <c r="J52">
        <v>15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7</v>
      </c>
      <c r="S52">
        <v>0</v>
      </c>
      <c r="T52">
        <v>10</v>
      </c>
      <c r="U52">
        <v>0</v>
      </c>
      <c r="V52">
        <v>0</v>
      </c>
      <c r="W52">
        <v>0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 x14ac:dyDescent="0.35">
      <c r="B53">
        <v>3</v>
      </c>
      <c r="D53" t="s">
        <v>94</v>
      </c>
      <c r="E53">
        <v>0.89</v>
      </c>
      <c r="F53">
        <f t="shared" si="0"/>
        <v>0.75</v>
      </c>
      <c r="G53">
        <v>0</v>
      </c>
      <c r="H53">
        <f t="shared" si="1"/>
        <v>15</v>
      </c>
      <c r="I53">
        <v>8</v>
      </c>
      <c r="J53">
        <v>15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</v>
      </c>
      <c r="S53">
        <v>0</v>
      </c>
      <c r="T53">
        <v>6</v>
      </c>
      <c r="U53">
        <v>0</v>
      </c>
      <c r="V53">
        <v>0</v>
      </c>
      <c r="W53">
        <v>0</v>
      </c>
      <c r="X53">
        <v>0</v>
      </c>
      <c r="Y53">
        <v>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 x14ac:dyDescent="0.35">
      <c r="B54">
        <v>3</v>
      </c>
      <c r="D54" t="s">
        <v>109</v>
      </c>
      <c r="E54">
        <v>0.93</v>
      </c>
      <c r="F54">
        <f t="shared" si="0"/>
        <v>0.7</v>
      </c>
      <c r="G54">
        <v>0</v>
      </c>
      <c r="H54">
        <f t="shared" si="1"/>
        <v>14</v>
      </c>
      <c r="I54">
        <v>8</v>
      </c>
      <c r="J54">
        <v>17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</v>
      </c>
      <c r="S54">
        <v>0</v>
      </c>
      <c r="T54">
        <v>3</v>
      </c>
      <c r="U54">
        <v>0</v>
      </c>
      <c r="V54">
        <v>0</v>
      </c>
      <c r="W54">
        <v>0</v>
      </c>
      <c r="X54">
        <v>0</v>
      </c>
      <c r="Y54">
        <v>6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 x14ac:dyDescent="0.35">
      <c r="B55">
        <v>3</v>
      </c>
      <c r="D55" t="s">
        <v>96</v>
      </c>
      <c r="E55" s="6">
        <v>0.95</v>
      </c>
      <c r="F55">
        <f t="shared" si="0"/>
        <v>0.8</v>
      </c>
      <c r="G55" s="6">
        <v>0</v>
      </c>
      <c r="H55">
        <f t="shared" si="1"/>
        <v>16</v>
      </c>
      <c r="I55">
        <v>8</v>
      </c>
      <c r="J55">
        <v>30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3</v>
      </c>
      <c r="S55">
        <v>0</v>
      </c>
      <c r="T55">
        <v>8</v>
      </c>
      <c r="U55">
        <v>0</v>
      </c>
      <c r="V55">
        <v>0</v>
      </c>
      <c r="W55">
        <v>0</v>
      </c>
      <c r="X55">
        <v>0</v>
      </c>
      <c r="Y55">
        <v>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s="2">
        <v>2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5" x14ac:dyDescent="0.35">
      <c r="B56">
        <v>3</v>
      </c>
      <c r="D56" t="s">
        <v>97</v>
      </c>
      <c r="E56">
        <v>0.93</v>
      </c>
      <c r="F56">
        <f t="shared" si="0"/>
        <v>0.85</v>
      </c>
      <c r="G56">
        <v>0</v>
      </c>
      <c r="H56">
        <f t="shared" si="1"/>
        <v>17</v>
      </c>
      <c r="I56">
        <v>10</v>
      </c>
      <c r="J56">
        <v>15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</v>
      </c>
      <c r="U56">
        <v>0</v>
      </c>
      <c r="V56">
        <v>0</v>
      </c>
      <c r="W56">
        <v>0</v>
      </c>
      <c r="X56">
        <v>0</v>
      </c>
      <c r="Y56">
        <v>11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 x14ac:dyDescent="0.35">
      <c r="B57">
        <v>3</v>
      </c>
      <c r="D57" t="s">
        <v>119</v>
      </c>
      <c r="E57">
        <v>0.85</v>
      </c>
      <c r="F57">
        <f t="shared" si="0"/>
        <v>0.7</v>
      </c>
      <c r="G57">
        <v>0</v>
      </c>
      <c r="H57">
        <f t="shared" si="1"/>
        <v>14</v>
      </c>
      <c r="I57">
        <v>8</v>
      </c>
      <c r="J57">
        <v>15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 x14ac:dyDescent="0.35">
      <c r="B58">
        <v>3</v>
      </c>
      <c r="D58" t="s">
        <v>111</v>
      </c>
      <c r="E58">
        <v>0.83</v>
      </c>
      <c r="F58">
        <f t="shared" si="0"/>
        <v>0.8</v>
      </c>
      <c r="G58">
        <v>0</v>
      </c>
      <c r="H58">
        <f t="shared" si="1"/>
        <v>16</v>
      </c>
      <c r="I58">
        <v>8</v>
      </c>
      <c r="J58">
        <v>10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12</v>
      </c>
      <c r="S58">
        <v>0</v>
      </c>
      <c r="T58">
        <v>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 x14ac:dyDescent="0.35">
      <c r="B59">
        <v>3</v>
      </c>
      <c r="D59" t="s">
        <v>112</v>
      </c>
      <c r="E59">
        <v>0.52</v>
      </c>
      <c r="F59">
        <f t="shared" si="0"/>
        <v>0.6</v>
      </c>
      <c r="G59">
        <v>0</v>
      </c>
      <c r="H59">
        <f t="shared" si="1"/>
        <v>12</v>
      </c>
      <c r="I59">
        <v>8</v>
      </c>
      <c r="J59">
        <v>15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6</v>
      </c>
      <c r="S59">
        <v>0</v>
      </c>
      <c r="T59">
        <v>5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5" x14ac:dyDescent="0.35">
      <c r="B60">
        <v>3</v>
      </c>
      <c r="D60" t="s">
        <v>103</v>
      </c>
      <c r="E60">
        <v>0.92</v>
      </c>
      <c r="F60">
        <f t="shared" si="0"/>
        <v>0.8</v>
      </c>
      <c r="G60">
        <v>0</v>
      </c>
      <c r="H60">
        <f t="shared" si="1"/>
        <v>16</v>
      </c>
      <c r="I60">
        <v>6</v>
      </c>
      <c r="J60">
        <v>8</v>
      </c>
      <c r="K60">
        <v>0</v>
      </c>
      <c r="L60">
        <v>0</v>
      </c>
      <c r="M60">
        <v>0</v>
      </c>
      <c r="N60">
        <v>0</v>
      </c>
      <c r="O60">
        <v>0</v>
      </c>
      <c r="P60">
        <v>2</v>
      </c>
      <c r="Q60">
        <v>0</v>
      </c>
      <c r="R60">
        <v>14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1:55" x14ac:dyDescent="0.35">
      <c r="B61">
        <v>3</v>
      </c>
      <c r="D61" t="s">
        <v>104</v>
      </c>
      <c r="E61" s="5">
        <v>0.86</v>
      </c>
      <c r="F61">
        <f t="shared" si="0"/>
        <v>1</v>
      </c>
      <c r="G61">
        <v>0</v>
      </c>
      <c r="H61">
        <f t="shared" si="1"/>
        <v>20</v>
      </c>
      <c r="I61">
        <v>8</v>
      </c>
      <c r="J61">
        <v>15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11</v>
      </c>
      <c r="S61">
        <v>0</v>
      </c>
      <c r="T61">
        <v>5</v>
      </c>
      <c r="U61">
        <v>0</v>
      </c>
      <c r="V61">
        <v>0</v>
      </c>
      <c r="W61">
        <v>0</v>
      </c>
      <c r="X61">
        <v>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1:55" x14ac:dyDescent="0.35">
      <c r="A62" t="s">
        <v>8</v>
      </c>
      <c r="B62">
        <v>3</v>
      </c>
      <c r="C62" t="s">
        <v>48</v>
      </c>
      <c r="D62" t="s">
        <v>106</v>
      </c>
      <c r="E62">
        <v>0.67</v>
      </c>
      <c r="F62">
        <f t="shared" si="0"/>
        <v>0.5</v>
      </c>
      <c r="G62">
        <v>0</v>
      </c>
      <c r="H62">
        <f t="shared" si="1"/>
        <v>10</v>
      </c>
      <c r="I62">
        <v>6</v>
      </c>
      <c r="J62">
        <v>15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7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 x14ac:dyDescent="0.35">
      <c r="B63">
        <v>3</v>
      </c>
      <c r="D63" t="s">
        <v>107</v>
      </c>
      <c r="E63">
        <v>0.82</v>
      </c>
      <c r="F63">
        <f t="shared" si="0"/>
        <v>0.5</v>
      </c>
      <c r="G63">
        <v>0</v>
      </c>
      <c r="H63">
        <f t="shared" si="1"/>
        <v>10</v>
      </c>
      <c r="I63">
        <v>8</v>
      </c>
      <c r="J63">
        <v>22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7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 x14ac:dyDescent="0.35">
      <c r="B64">
        <v>3</v>
      </c>
      <c r="D64" t="s">
        <v>120</v>
      </c>
      <c r="E64">
        <v>0.74</v>
      </c>
      <c r="F64">
        <f t="shared" si="0"/>
        <v>0.65</v>
      </c>
      <c r="G64">
        <v>0</v>
      </c>
      <c r="H64">
        <f t="shared" si="1"/>
        <v>13</v>
      </c>
      <c r="I64">
        <v>6</v>
      </c>
      <c r="J64">
        <v>10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11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 x14ac:dyDescent="0.35">
      <c r="B65">
        <v>3</v>
      </c>
      <c r="D65" t="s">
        <v>108</v>
      </c>
      <c r="E65">
        <v>0.87</v>
      </c>
      <c r="F65">
        <f t="shared" si="0"/>
        <v>0.8</v>
      </c>
      <c r="G65">
        <v>0</v>
      </c>
      <c r="H65">
        <f t="shared" si="1"/>
        <v>16</v>
      </c>
      <c r="I65">
        <v>6</v>
      </c>
      <c r="J65">
        <v>15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13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 x14ac:dyDescent="0.35">
      <c r="B66">
        <v>3</v>
      </c>
      <c r="D66" t="s">
        <v>94</v>
      </c>
      <c r="E66">
        <v>0.89</v>
      </c>
      <c r="F66">
        <f t="shared" si="0"/>
        <v>0.75</v>
      </c>
      <c r="G66">
        <v>0</v>
      </c>
      <c r="H66">
        <f t="shared" si="1"/>
        <v>15</v>
      </c>
      <c r="I66">
        <v>8</v>
      </c>
      <c r="J66">
        <v>15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9</v>
      </c>
      <c r="S66">
        <v>0</v>
      </c>
      <c r="T66">
        <v>5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 x14ac:dyDescent="0.35">
      <c r="B67">
        <v>3</v>
      </c>
      <c r="D67" t="s">
        <v>109</v>
      </c>
      <c r="E67">
        <v>0.93</v>
      </c>
      <c r="F67">
        <f t="shared" ref="F67:F91" si="2">(G67+H67)/20</f>
        <v>0.45</v>
      </c>
      <c r="G67">
        <v>0</v>
      </c>
      <c r="H67">
        <f t="shared" ref="H67:H91" si="3">SUM(K67:AW67)</f>
        <v>9</v>
      </c>
      <c r="I67">
        <v>8</v>
      </c>
      <c r="J67">
        <v>33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s="2">
        <v>0</v>
      </c>
      <c r="AO67" s="2">
        <v>0</v>
      </c>
      <c r="AP67" s="2">
        <v>0</v>
      </c>
      <c r="AQ67" s="2">
        <v>1</v>
      </c>
      <c r="AR67" s="2">
        <v>0</v>
      </c>
      <c r="AS67" s="2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 s="7" customFormat="1" x14ac:dyDescent="0.35">
      <c r="B68" s="7">
        <v>3</v>
      </c>
      <c r="D68" s="7" t="s">
        <v>96</v>
      </c>
      <c r="E68" s="7">
        <v>0.95</v>
      </c>
      <c r="F68">
        <f t="shared" si="2"/>
        <v>1</v>
      </c>
      <c r="G68" s="7">
        <v>0</v>
      </c>
      <c r="H68" s="7">
        <f t="shared" si="3"/>
        <v>20</v>
      </c>
      <c r="I68" s="7">
        <v>8</v>
      </c>
      <c r="J68" s="7">
        <v>15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8</v>
      </c>
      <c r="S68" s="7">
        <v>0</v>
      </c>
      <c r="T68" s="7">
        <v>8</v>
      </c>
      <c r="U68" s="7">
        <v>0</v>
      </c>
      <c r="V68" s="7">
        <v>0</v>
      </c>
      <c r="W68" s="7">
        <v>0</v>
      </c>
      <c r="X68" s="7">
        <v>0</v>
      </c>
      <c r="Y68" s="7">
        <v>4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7">
        <v>0</v>
      </c>
      <c r="AU68" s="7">
        <v>0</v>
      </c>
      <c r="AV68" s="7">
        <v>0</v>
      </c>
      <c r="AW68" s="7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 s="7" customFormat="1" x14ac:dyDescent="0.35">
      <c r="B69" s="7">
        <v>3</v>
      </c>
      <c r="D69" s="7" t="s">
        <v>97</v>
      </c>
      <c r="E69" s="7">
        <v>0.93</v>
      </c>
      <c r="F69">
        <f t="shared" si="2"/>
        <v>1</v>
      </c>
      <c r="G69" s="7">
        <v>0</v>
      </c>
      <c r="H69" s="7">
        <f t="shared" si="3"/>
        <v>20</v>
      </c>
      <c r="I69" s="7">
        <v>8</v>
      </c>
      <c r="J69" s="7">
        <v>15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5</v>
      </c>
      <c r="S69" s="7">
        <v>0</v>
      </c>
      <c r="T69" s="7">
        <v>13</v>
      </c>
      <c r="U69" s="7">
        <v>0</v>
      </c>
      <c r="V69" s="7">
        <v>0</v>
      </c>
      <c r="W69" s="7">
        <v>0</v>
      </c>
      <c r="X69" s="7">
        <v>0</v>
      </c>
      <c r="Y69" s="7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7">
        <v>0</v>
      </c>
      <c r="AU69" s="7">
        <v>0</v>
      </c>
      <c r="AV69" s="7">
        <v>0</v>
      </c>
      <c r="AW69" s="7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 x14ac:dyDescent="0.35">
      <c r="B70">
        <v>3</v>
      </c>
      <c r="D70" t="s">
        <v>98</v>
      </c>
      <c r="E70">
        <v>0.93</v>
      </c>
      <c r="F70">
        <f t="shared" si="2"/>
        <v>0.9</v>
      </c>
      <c r="G70">
        <v>0</v>
      </c>
      <c r="H70">
        <f t="shared" si="3"/>
        <v>18</v>
      </c>
      <c r="I70">
        <v>8</v>
      </c>
      <c r="J70">
        <v>20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14</v>
      </c>
      <c r="S70">
        <v>0</v>
      </c>
      <c r="T70">
        <v>2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1:55" x14ac:dyDescent="0.35">
      <c r="B71">
        <v>3</v>
      </c>
      <c r="D71" t="s">
        <v>101</v>
      </c>
      <c r="E71">
        <v>0.85</v>
      </c>
      <c r="F71">
        <f t="shared" si="2"/>
        <v>0.9</v>
      </c>
      <c r="G71">
        <v>0</v>
      </c>
      <c r="H71">
        <f t="shared" si="3"/>
        <v>18</v>
      </c>
      <c r="I71">
        <v>8</v>
      </c>
      <c r="J71">
        <v>15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14</v>
      </c>
      <c r="S71">
        <v>0</v>
      </c>
      <c r="T71">
        <v>3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1:55" x14ac:dyDescent="0.35">
      <c r="B72">
        <v>3</v>
      </c>
      <c r="D72" t="s">
        <v>111</v>
      </c>
      <c r="E72">
        <v>0.83</v>
      </c>
      <c r="F72">
        <f t="shared" si="2"/>
        <v>0.75</v>
      </c>
      <c r="G72">
        <v>0</v>
      </c>
      <c r="H72">
        <f t="shared" si="3"/>
        <v>15</v>
      </c>
      <c r="I72">
        <v>8</v>
      </c>
      <c r="J72">
        <v>15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5</v>
      </c>
      <c r="S72">
        <v>0</v>
      </c>
      <c r="T72">
        <v>8</v>
      </c>
      <c r="U72">
        <v>0</v>
      </c>
      <c r="V72">
        <v>0</v>
      </c>
      <c r="W72">
        <v>0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1:55" x14ac:dyDescent="0.35">
      <c r="B73">
        <v>3</v>
      </c>
      <c r="D73" t="s">
        <v>112</v>
      </c>
      <c r="E73">
        <v>0.52</v>
      </c>
      <c r="F73">
        <f t="shared" si="2"/>
        <v>0.5</v>
      </c>
      <c r="G73">
        <v>0</v>
      </c>
      <c r="H73">
        <f t="shared" si="3"/>
        <v>10</v>
      </c>
      <c r="I73">
        <v>8</v>
      </c>
      <c r="J73">
        <v>27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</v>
      </c>
      <c r="S73">
        <v>0</v>
      </c>
      <c r="T73">
        <v>5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 spans="1:55" x14ac:dyDescent="0.35">
      <c r="B74">
        <v>3</v>
      </c>
      <c r="D74" t="s">
        <v>102</v>
      </c>
      <c r="E74">
        <v>0.8</v>
      </c>
      <c r="F74">
        <f t="shared" si="2"/>
        <v>0.9</v>
      </c>
      <c r="G74">
        <v>0</v>
      </c>
      <c r="H74">
        <f t="shared" si="3"/>
        <v>18</v>
      </c>
      <c r="I74">
        <v>8</v>
      </c>
      <c r="J74">
        <v>20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6</v>
      </c>
      <c r="S74">
        <v>0</v>
      </c>
      <c r="T74">
        <v>8</v>
      </c>
      <c r="U74">
        <v>0</v>
      </c>
      <c r="V74">
        <v>0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 x14ac:dyDescent="0.35">
      <c r="B75">
        <v>3</v>
      </c>
      <c r="D75" t="s">
        <v>113</v>
      </c>
      <c r="E75">
        <v>0.89</v>
      </c>
      <c r="F75">
        <f t="shared" si="2"/>
        <v>0.5</v>
      </c>
      <c r="G75">
        <v>1</v>
      </c>
      <c r="H75">
        <f t="shared" si="3"/>
        <v>9</v>
      </c>
      <c r="I75">
        <v>8</v>
      </c>
      <c r="J75">
        <v>24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5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 x14ac:dyDescent="0.35">
      <c r="B76">
        <v>3</v>
      </c>
      <c r="D76" t="s">
        <v>105</v>
      </c>
      <c r="E76" s="5">
        <v>0.91</v>
      </c>
      <c r="F76">
        <f t="shared" si="2"/>
        <v>0.75</v>
      </c>
      <c r="G76">
        <v>0</v>
      </c>
      <c r="H76">
        <f t="shared" si="3"/>
        <v>15</v>
      </c>
      <c r="I76">
        <v>8</v>
      </c>
      <c r="J76">
        <v>15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12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 spans="1:55" x14ac:dyDescent="0.35">
      <c r="A77" t="s">
        <v>9</v>
      </c>
      <c r="B77">
        <v>3</v>
      </c>
      <c r="C77" t="s">
        <v>48</v>
      </c>
      <c r="D77" t="s">
        <v>115</v>
      </c>
      <c r="E77">
        <v>0.84</v>
      </c>
      <c r="F77">
        <f t="shared" si="2"/>
        <v>0.7</v>
      </c>
      <c r="G77">
        <v>0</v>
      </c>
      <c r="H77">
        <f t="shared" si="3"/>
        <v>14</v>
      </c>
      <c r="I77">
        <v>10</v>
      </c>
      <c r="J77">
        <v>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</v>
      </c>
      <c r="U77">
        <v>0</v>
      </c>
      <c r="V77">
        <v>0</v>
      </c>
      <c r="W77">
        <v>0</v>
      </c>
      <c r="X77">
        <v>0</v>
      </c>
      <c r="Y77">
        <v>12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 x14ac:dyDescent="0.35">
      <c r="B78">
        <v>3</v>
      </c>
      <c r="D78" t="s">
        <v>116</v>
      </c>
      <c r="E78">
        <v>0.92</v>
      </c>
      <c r="F78">
        <f t="shared" si="2"/>
        <v>0.85</v>
      </c>
      <c r="G78">
        <v>0</v>
      </c>
      <c r="H78">
        <f t="shared" si="3"/>
        <v>17</v>
      </c>
      <c r="I78">
        <v>8</v>
      </c>
      <c r="J78">
        <v>15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6</v>
      </c>
      <c r="S78">
        <v>0</v>
      </c>
      <c r="T78">
        <v>9</v>
      </c>
      <c r="U78">
        <v>0</v>
      </c>
      <c r="V78">
        <v>0</v>
      </c>
      <c r="W78">
        <v>0</v>
      </c>
      <c r="X78">
        <v>0</v>
      </c>
      <c r="Y78">
        <v>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1:55" x14ac:dyDescent="0.35">
      <c r="B79">
        <v>3</v>
      </c>
      <c r="D79" t="s">
        <v>106</v>
      </c>
      <c r="E79">
        <v>0.67</v>
      </c>
      <c r="F79">
        <f t="shared" si="2"/>
        <v>0.4</v>
      </c>
      <c r="G79">
        <v>0</v>
      </c>
      <c r="H79">
        <f t="shared" si="3"/>
        <v>8</v>
      </c>
      <c r="I79">
        <v>10</v>
      </c>
      <c r="J79">
        <v>15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</v>
      </c>
      <c r="U79">
        <v>0</v>
      </c>
      <c r="V79">
        <v>0</v>
      </c>
      <c r="W79">
        <v>0</v>
      </c>
      <c r="X79">
        <v>0</v>
      </c>
      <c r="Y79">
        <v>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 x14ac:dyDescent="0.35">
      <c r="B80">
        <v>3</v>
      </c>
      <c r="D80" t="s">
        <v>120</v>
      </c>
      <c r="E80">
        <v>0.74</v>
      </c>
      <c r="F80">
        <f t="shared" si="2"/>
        <v>0.75</v>
      </c>
      <c r="G80">
        <v>0</v>
      </c>
      <c r="H80">
        <f t="shared" si="3"/>
        <v>15</v>
      </c>
      <c r="I80">
        <v>15</v>
      </c>
      <c r="J80">
        <v>20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10</v>
      </c>
      <c r="Z80">
        <v>0</v>
      </c>
      <c r="AA80">
        <v>4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2:55" x14ac:dyDescent="0.35">
      <c r="B81">
        <v>3</v>
      </c>
      <c r="D81" t="s">
        <v>108</v>
      </c>
      <c r="E81">
        <v>0.87</v>
      </c>
      <c r="F81">
        <f t="shared" si="2"/>
        <v>0.85</v>
      </c>
      <c r="G81">
        <v>0</v>
      </c>
      <c r="H81">
        <f t="shared" si="3"/>
        <v>17</v>
      </c>
      <c r="I81">
        <v>10</v>
      </c>
      <c r="J81">
        <v>15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5</v>
      </c>
      <c r="U81">
        <v>0</v>
      </c>
      <c r="V81">
        <v>0</v>
      </c>
      <c r="W81">
        <v>0</v>
      </c>
      <c r="X81">
        <v>0</v>
      </c>
      <c r="Y81">
        <v>12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2:55" x14ac:dyDescent="0.35">
      <c r="B82">
        <v>3</v>
      </c>
      <c r="D82" t="s">
        <v>117</v>
      </c>
      <c r="E82">
        <v>0.74</v>
      </c>
      <c r="F82">
        <f t="shared" si="2"/>
        <v>0.55000000000000004</v>
      </c>
      <c r="G82">
        <v>0</v>
      </c>
      <c r="H82">
        <f t="shared" si="3"/>
        <v>11</v>
      </c>
      <c r="I82">
        <v>10</v>
      </c>
      <c r="J82">
        <v>17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</v>
      </c>
      <c r="U82">
        <v>0</v>
      </c>
      <c r="V82">
        <v>0</v>
      </c>
      <c r="W82">
        <v>0</v>
      </c>
      <c r="X82">
        <v>0</v>
      </c>
      <c r="Y82">
        <v>5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2:55" s="7" customFormat="1" x14ac:dyDescent="0.35">
      <c r="B83" s="7">
        <v>3</v>
      </c>
      <c r="D83" s="7" t="s">
        <v>109</v>
      </c>
      <c r="E83" s="7">
        <v>0.93</v>
      </c>
      <c r="F83">
        <f t="shared" si="2"/>
        <v>0.75</v>
      </c>
      <c r="G83" s="7">
        <v>0</v>
      </c>
      <c r="H83" s="7">
        <f t="shared" si="3"/>
        <v>15</v>
      </c>
      <c r="I83" s="7">
        <v>10</v>
      </c>
      <c r="J83" s="7">
        <v>15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6</v>
      </c>
      <c r="U83" s="7">
        <v>0</v>
      </c>
      <c r="V83" s="7">
        <v>0</v>
      </c>
      <c r="W83" s="7">
        <v>0</v>
      </c>
      <c r="X83" s="7">
        <v>0</v>
      </c>
      <c r="Y83" s="7">
        <v>9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7">
        <v>0</v>
      </c>
      <c r="AU83" s="7">
        <v>0</v>
      </c>
      <c r="AV83" s="7">
        <v>0</v>
      </c>
      <c r="AW83" s="7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2:55" x14ac:dyDescent="0.35">
      <c r="B84">
        <v>3</v>
      </c>
      <c r="D84" t="s">
        <v>96</v>
      </c>
      <c r="E84">
        <v>0.95</v>
      </c>
      <c r="F84">
        <f t="shared" si="2"/>
        <v>0.95</v>
      </c>
      <c r="G84">
        <v>0</v>
      </c>
      <c r="H84">
        <f t="shared" si="3"/>
        <v>19</v>
      </c>
      <c r="I84">
        <v>8</v>
      </c>
      <c r="J84">
        <v>15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</v>
      </c>
      <c r="S84">
        <v>0</v>
      </c>
      <c r="T84">
        <v>6</v>
      </c>
      <c r="U84">
        <v>0</v>
      </c>
      <c r="V84">
        <v>0</v>
      </c>
      <c r="W84">
        <v>0</v>
      </c>
      <c r="X84">
        <v>0</v>
      </c>
      <c r="Y84">
        <v>11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 spans="2:55" x14ac:dyDescent="0.35">
      <c r="B85">
        <v>3</v>
      </c>
      <c r="D85" t="s">
        <v>97</v>
      </c>
      <c r="E85">
        <v>0.93</v>
      </c>
      <c r="F85">
        <f t="shared" si="2"/>
        <v>0.9</v>
      </c>
      <c r="G85">
        <v>0</v>
      </c>
      <c r="H85">
        <f t="shared" si="3"/>
        <v>18</v>
      </c>
      <c r="I85">
        <v>8</v>
      </c>
      <c r="J85">
        <v>17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</v>
      </c>
      <c r="S85">
        <v>0</v>
      </c>
      <c r="T85">
        <v>7</v>
      </c>
      <c r="U85">
        <v>0</v>
      </c>
      <c r="V85">
        <v>0</v>
      </c>
      <c r="W85">
        <v>0</v>
      </c>
      <c r="X85">
        <v>0</v>
      </c>
      <c r="Y85">
        <v>8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2:55" x14ac:dyDescent="0.35">
      <c r="B86">
        <v>3</v>
      </c>
      <c r="D86" t="s">
        <v>98</v>
      </c>
      <c r="E86">
        <v>0.93</v>
      </c>
      <c r="F86">
        <f t="shared" si="2"/>
        <v>0.95</v>
      </c>
      <c r="G86">
        <v>0</v>
      </c>
      <c r="H86">
        <f t="shared" si="3"/>
        <v>19</v>
      </c>
      <c r="I86">
        <v>10</v>
      </c>
      <c r="J86">
        <v>15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</v>
      </c>
      <c r="U86">
        <v>0</v>
      </c>
      <c r="V86">
        <v>0</v>
      </c>
      <c r="W86">
        <v>0</v>
      </c>
      <c r="X86">
        <v>0</v>
      </c>
      <c r="Y86">
        <v>13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 spans="2:55" s="7" customFormat="1" x14ac:dyDescent="0.35">
      <c r="B87" s="7">
        <v>3</v>
      </c>
      <c r="D87" s="7" t="s">
        <v>100</v>
      </c>
      <c r="E87" s="7">
        <v>0.93</v>
      </c>
      <c r="F87">
        <f t="shared" si="2"/>
        <v>1</v>
      </c>
      <c r="G87" s="7">
        <v>0</v>
      </c>
      <c r="H87" s="7">
        <f t="shared" si="3"/>
        <v>20</v>
      </c>
      <c r="I87" s="7">
        <v>10</v>
      </c>
      <c r="J87" s="7">
        <v>15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10</v>
      </c>
      <c r="U87" s="7">
        <v>0</v>
      </c>
      <c r="V87" s="7">
        <v>0</v>
      </c>
      <c r="W87" s="7">
        <v>0</v>
      </c>
      <c r="X87" s="7">
        <v>0</v>
      </c>
      <c r="Y87" s="7">
        <v>10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7">
        <v>0</v>
      </c>
      <c r="AU87" s="7">
        <v>0</v>
      </c>
      <c r="AV87" s="7">
        <v>0</v>
      </c>
      <c r="AW87" s="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 spans="2:55" x14ac:dyDescent="0.35">
      <c r="B88">
        <v>3</v>
      </c>
      <c r="D88" t="s">
        <v>111</v>
      </c>
      <c r="E88">
        <v>0.83</v>
      </c>
      <c r="F88">
        <f t="shared" si="2"/>
        <v>0.6</v>
      </c>
      <c r="G88">
        <v>0</v>
      </c>
      <c r="H88">
        <f t="shared" si="3"/>
        <v>12</v>
      </c>
      <c r="I88">
        <v>8</v>
      </c>
      <c r="J88">
        <v>15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</v>
      </c>
      <c r="S88">
        <v>0</v>
      </c>
      <c r="T88">
        <v>8</v>
      </c>
      <c r="U88">
        <v>0</v>
      </c>
      <c r="V88">
        <v>0</v>
      </c>
      <c r="W88">
        <v>0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2:55" x14ac:dyDescent="0.35">
      <c r="B89">
        <v>3</v>
      </c>
      <c r="D89" t="s">
        <v>112</v>
      </c>
      <c r="E89">
        <v>0.52</v>
      </c>
      <c r="F89">
        <f t="shared" si="2"/>
        <v>0.55000000000000004</v>
      </c>
      <c r="G89">
        <v>0</v>
      </c>
      <c r="H89">
        <f t="shared" si="3"/>
        <v>11</v>
      </c>
      <c r="I89">
        <v>8</v>
      </c>
      <c r="J89">
        <v>15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3</v>
      </c>
      <c r="S89">
        <v>0</v>
      </c>
      <c r="T89">
        <v>6</v>
      </c>
      <c r="U89">
        <v>0</v>
      </c>
      <c r="V89">
        <v>0</v>
      </c>
      <c r="W89">
        <v>0</v>
      </c>
      <c r="X89">
        <v>0</v>
      </c>
      <c r="Y89">
        <v>2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2:55" x14ac:dyDescent="0.35">
      <c r="B90">
        <v>3</v>
      </c>
      <c r="D90" t="s">
        <v>102</v>
      </c>
      <c r="E90">
        <v>0.8</v>
      </c>
      <c r="F90">
        <f t="shared" si="2"/>
        <v>0.65</v>
      </c>
      <c r="G90">
        <v>0</v>
      </c>
      <c r="H90">
        <f t="shared" si="3"/>
        <v>13</v>
      </c>
      <c r="I90">
        <v>10</v>
      </c>
      <c r="J90">
        <v>15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</v>
      </c>
      <c r="U90">
        <v>0</v>
      </c>
      <c r="V90">
        <v>0</v>
      </c>
      <c r="W90">
        <v>0</v>
      </c>
      <c r="X90">
        <v>0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 spans="2:55" x14ac:dyDescent="0.35">
      <c r="B91">
        <v>3</v>
      </c>
      <c r="D91" t="s">
        <v>105</v>
      </c>
      <c r="E91">
        <v>0.91</v>
      </c>
      <c r="F91">
        <f t="shared" si="2"/>
        <v>0.65</v>
      </c>
      <c r="G91">
        <v>0</v>
      </c>
      <c r="H91">
        <f t="shared" si="3"/>
        <v>13</v>
      </c>
      <c r="I91">
        <v>10</v>
      </c>
      <c r="J91">
        <v>33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>
        <v>0</v>
      </c>
      <c r="V91">
        <v>0</v>
      </c>
      <c r="W91">
        <v>0</v>
      </c>
      <c r="X91">
        <v>0</v>
      </c>
      <c r="Y91">
        <v>7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 s="2">
        <v>0</v>
      </c>
      <c r="AO91" s="2">
        <v>0</v>
      </c>
      <c r="AP91" s="2">
        <v>0</v>
      </c>
      <c r="AQ91" s="2">
        <v>1</v>
      </c>
      <c r="AR91" s="2">
        <v>0</v>
      </c>
      <c r="AS91" s="2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6" spans="2:55" x14ac:dyDescent="0.35">
      <c r="C96" s="1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F836-B4C2-45F5-9F05-523524D791DF}">
  <dimension ref="A1:BD91"/>
  <sheetViews>
    <sheetView topLeftCell="I1" workbookViewId="0">
      <pane ySplit="1" topLeftCell="A71" activePane="bottomLeft" state="frozen"/>
      <selection activeCell="I1" sqref="I1"/>
      <selection pane="bottomLeft" activeCell="I1" sqref="I1:S1048576"/>
    </sheetView>
  </sheetViews>
  <sheetFormatPr defaultColWidth="8.81640625" defaultRowHeight="14.5" x14ac:dyDescent="0.35"/>
  <cols>
    <col min="1" max="1" width="11.1796875" bestFit="1" customWidth="1"/>
    <col min="5" max="11" width="14.453125" customWidth="1"/>
    <col min="12" max="18" width="8.81640625" customWidth="1"/>
  </cols>
  <sheetData>
    <row r="1" spans="1:56" s="1" customFormat="1" ht="43.5" x14ac:dyDescent="0.35">
      <c r="A1" s="1" t="s">
        <v>1</v>
      </c>
      <c r="B1" s="1" t="s">
        <v>4</v>
      </c>
      <c r="C1" s="1" t="s">
        <v>0</v>
      </c>
      <c r="D1" s="1" t="s">
        <v>170</v>
      </c>
      <c r="E1" s="3" t="s">
        <v>122</v>
      </c>
      <c r="F1" s="3" t="s">
        <v>123</v>
      </c>
      <c r="G1" s="3" t="s">
        <v>174</v>
      </c>
      <c r="H1" s="3" t="s">
        <v>124</v>
      </c>
      <c r="I1" s="3" t="s">
        <v>171</v>
      </c>
      <c r="J1" s="3" t="s">
        <v>172</v>
      </c>
      <c r="K1" s="3" t="s">
        <v>173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 s="1" t="s">
        <v>156</v>
      </c>
      <c r="AR1" s="1" t="s">
        <v>157</v>
      </c>
      <c r="AS1" s="1" t="s">
        <v>158</v>
      </c>
      <c r="AT1" s="1" t="s">
        <v>159</v>
      </c>
      <c r="AU1" s="1" t="s">
        <v>160</v>
      </c>
      <c r="AV1" s="1" t="s">
        <v>161</v>
      </c>
      <c r="AW1" s="1" t="s">
        <v>162</v>
      </c>
      <c r="AX1" s="1" t="s">
        <v>163</v>
      </c>
      <c r="AY1" s="1" t="s">
        <v>164</v>
      </c>
      <c r="AZ1" s="1" t="s">
        <v>165</v>
      </c>
      <c r="BA1" s="1" t="s">
        <v>166</v>
      </c>
      <c r="BB1" s="1" t="s">
        <v>167</v>
      </c>
      <c r="BC1" s="1" t="s">
        <v>168</v>
      </c>
      <c r="BD1" s="1" t="s">
        <v>169</v>
      </c>
    </row>
    <row r="2" spans="1:56" x14ac:dyDescent="0.35">
      <c r="A2" t="s">
        <v>3</v>
      </c>
      <c r="B2">
        <v>3</v>
      </c>
      <c r="C2" t="s">
        <v>2</v>
      </c>
      <c r="D2" t="s">
        <v>13</v>
      </c>
      <c r="E2" s="4">
        <v>0.9</v>
      </c>
      <c r="F2">
        <f>(I2+G2)/20</f>
        <v>0.85</v>
      </c>
      <c r="G2">
        <v>0</v>
      </c>
      <c r="H2">
        <v>20</v>
      </c>
      <c r="I2">
        <f>SUM(L2:AX2)</f>
        <v>17</v>
      </c>
      <c r="J2">
        <v>10</v>
      </c>
      <c r="K2">
        <v>17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>
        <v>0</v>
      </c>
      <c r="Y2">
        <v>0</v>
      </c>
      <c r="Z2">
        <v>13</v>
      </c>
      <c r="AA2">
        <v>0</v>
      </c>
      <c r="AB2">
        <v>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35">
      <c r="A3" t="s">
        <v>3</v>
      </c>
      <c r="B3">
        <v>3</v>
      </c>
      <c r="C3" t="s">
        <v>2</v>
      </c>
      <c r="D3" t="s">
        <v>10</v>
      </c>
      <c r="E3">
        <v>1</v>
      </c>
      <c r="F3">
        <f t="shared" ref="F3:F66" si="0">(I3+G3)/20</f>
        <v>0.85</v>
      </c>
      <c r="G3">
        <v>0</v>
      </c>
      <c r="H3">
        <v>20</v>
      </c>
      <c r="I3">
        <f t="shared" ref="I3:I66" si="1">SUM(L3:AX3)</f>
        <v>17</v>
      </c>
      <c r="J3">
        <v>10</v>
      </c>
      <c r="K3">
        <v>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s="7" customFormat="1" x14ac:dyDescent="0.35">
      <c r="A4" t="s">
        <v>3</v>
      </c>
      <c r="B4">
        <v>3</v>
      </c>
      <c r="C4" t="s">
        <v>2</v>
      </c>
      <c r="D4" t="s">
        <v>14</v>
      </c>
      <c r="E4">
        <v>0.94</v>
      </c>
      <c r="F4">
        <f t="shared" si="0"/>
        <v>1</v>
      </c>
      <c r="G4">
        <v>0</v>
      </c>
      <c r="H4">
        <v>20</v>
      </c>
      <c r="I4">
        <f t="shared" si="1"/>
        <v>20</v>
      </c>
      <c r="J4">
        <v>10</v>
      </c>
      <c r="K4">
        <v>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</v>
      </c>
      <c r="V4">
        <v>0</v>
      </c>
      <c r="W4">
        <v>0</v>
      </c>
      <c r="X4">
        <v>0</v>
      </c>
      <c r="Y4">
        <v>0</v>
      </c>
      <c r="Z4">
        <v>15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s="7" customFormat="1" x14ac:dyDescent="0.35">
      <c r="A5" t="s">
        <v>3</v>
      </c>
      <c r="B5">
        <v>3</v>
      </c>
      <c r="C5" t="s">
        <v>2</v>
      </c>
      <c r="D5" t="s">
        <v>15</v>
      </c>
      <c r="E5">
        <v>0.94</v>
      </c>
      <c r="F5">
        <f t="shared" si="0"/>
        <v>1</v>
      </c>
      <c r="G5">
        <v>0</v>
      </c>
      <c r="H5">
        <v>20</v>
      </c>
      <c r="I5">
        <f t="shared" si="1"/>
        <v>20</v>
      </c>
      <c r="J5">
        <v>10</v>
      </c>
      <c r="K5">
        <v>15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</v>
      </c>
      <c r="V5">
        <v>0</v>
      </c>
      <c r="W5">
        <v>0</v>
      </c>
      <c r="X5">
        <v>0</v>
      </c>
      <c r="Y5">
        <v>0</v>
      </c>
      <c r="Z5">
        <v>13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5">
      <c r="A6" t="s">
        <v>3</v>
      </c>
      <c r="B6">
        <v>3</v>
      </c>
      <c r="C6" t="s">
        <v>2</v>
      </c>
      <c r="D6" t="s">
        <v>16</v>
      </c>
      <c r="E6">
        <v>0.78</v>
      </c>
      <c r="F6">
        <f t="shared" si="0"/>
        <v>0.9</v>
      </c>
      <c r="G6">
        <v>0</v>
      </c>
      <c r="H6">
        <v>20</v>
      </c>
      <c r="I6">
        <f t="shared" si="1"/>
        <v>18</v>
      </c>
      <c r="J6">
        <v>10</v>
      </c>
      <c r="K6">
        <v>15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</v>
      </c>
      <c r="V6">
        <v>0</v>
      </c>
      <c r="W6">
        <v>0</v>
      </c>
      <c r="X6">
        <v>0</v>
      </c>
      <c r="Y6">
        <v>0</v>
      </c>
      <c r="Z6">
        <v>14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35">
      <c r="A7" t="s">
        <v>3</v>
      </c>
      <c r="B7">
        <v>3</v>
      </c>
      <c r="C7" t="s">
        <v>2</v>
      </c>
      <c r="D7" t="s">
        <v>17</v>
      </c>
      <c r="E7">
        <v>0.95</v>
      </c>
      <c r="F7">
        <f t="shared" si="0"/>
        <v>0.9</v>
      </c>
      <c r="G7">
        <v>0</v>
      </c>
      <c r="H7">
        <v>20</v>
      </c>
      <c r="I7">
        <f t="shared" si="1"/>
        <v>18</v>
      </c>
      <c r="J7">
        <v>8</v>
      </c>
      <c r="K7">
        <v>10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9</v>
      </c>
      <c r="T7">
        <v>0</v>
      </c>
      <c r="U7">
        <v>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35">
      <c r="A8" t="s">
        <v>3</v>
      </c>
      <c r="B8">
        <v>3</v>
      </c>
      <c r="C8" t="s">
        <v>2</v>
      </c>
      <c r="D8" t="s">
        <v>18</v>
      </c>
      <c r="E8">
        <v>0.95</v>
      </c>
      <c r="F8">
        <f t="shared" si="0"/>
        <v>0.85</v>
      </c>
      <c r="G8">
        <v>0</v>
      </c>
      <c r="H8">
        <v>20</v>
      </c>
      <c r="I8">
        <f t="shared" si="1"/>
        <v>17</v>
      </c>
      <c r="J8">
        <v>8</v>
      </c>
      <c r="K8">
        <v>10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14</v>
      </c>
      <c r="T8">
        <v>0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5">
      <c r="A9" t="s">
        <v>3</v>
      </c>
      <c r="B9">
        <v>3</v>
      </c>
      <c r="C9" t="s">
        <v>2</v>
      </c>
      <c r="D9" t="s">
        <v>11</v>
      </c>
      <c r="E9">
        <v>0.75</v>
      </c>
      <c r="F9">
        <f t="shared" si="0"/>
        <v>0.7</v>
      </c>
      <c r="G9">
        <v>0</v>
      </c>
      <c r="H9">
        <v>20</v>
      </c>
      <c r="I9">
        <f t="shared" si="1"/>
        <v>14</v>
      </c>
      <c r="J9">
        <v>10</v>
      </c>
      <c r="K9">
        <v>15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</v>
      </c>
      <c r="V9">
        <v>0</v>
      </c>
      <c r="W9">
        <v>0</v>
      </c>
      <c r="X9">
        <v>0</v>
      </c>
      <c r="Y9">
        <v>0</v>
      </c>
      <c r="Z9">
        <v>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35">
      <c r="A10" t="s">
        <v>3</v>
      </c>
      <c r="B10">
        <v>3</v>
      </c>
      <c r="C10" t="s">
        <v>2</v>
      </c>
      <c r="D10" t="s">
        <v>30</v>
      </c>
      <c r="E10">
        <v>0.91</v>
      </c>
      <c r="F10">
        <f t="shared" si="0"/>
        <v>0.95</v>
      </c>
      <c r="G10">
        <v>1</v>
      </c>
      <c r="H10">
        <v>20</v>
      </c>
      <c r="I10">
        <f t="shared" si="1"/>
        <v>18</v>
      </c>
      <c r="J10">
        <v>15</v>
      </c>
      <c r="K10">
        <v>15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35">
      <c r="A11" t="s">
        <v>3</v>
      </c>
      <c r="B11">
        <v>3</v>
      </c>
      <c r="C11" t="s">
        <v>2</v>
      </c>
      <c r="D11" t="s">
        <v>19</v>
      </c>
      <c r="E11">
        <v>0.92</v>
      </c>
      <c r="F11">
        <f t="shared" si="0"/>
        <v>0.9</v>
      </c>
      <c r="G11">
        <v>0</v>
      </c>
      <c r="H11">
        <v>20</v>
      </c>
      <c r="I11">
        <f t="shared" si="1"/>
        <v>18</v>
      </c>
      <c r="J11">
        <v>15</v>
      </c>
      <c r="K11">
        <v>15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35">
      <c r="A12" t="s">
        <v>3</v>
      </c>
      <c r="B12">
        <v>3</v>
      </c>
      <c r="C12" t="s">
        <v>2</v>
      </c>
      <c r="D12" t="s">
        <v>12</v>
      </c>
      <c r="E12">
        <v>0.74</v>
      </c>
      <c r="F12">
        <f t="shared" si="0"/>
        <v>0.5</v>
      </c>
      <c r="G12">
        <v>0</v>
      </c>
      <c r="H12">
        <v>20</v>
      </c>
      <c r="I12">
        <f t="shared" si="1"/>
        <v>10</v>
      </c>
      <c r="J12">
        <v>8</v>
      </c>
      <c r="K12">
        <v>15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5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35">
      <c r="A13" t="s">
        <v>3</v>
      </c>
      <c r="B13">
        <v>3</v>
      </c>
      <c r="C13" t="s">
        <v>2</v>
      </c>
      <c r="D13" t="s">
        <v>20</v>
      </c>
      <c r="E13">
        <v>0.12</v>
      </c>
      <c r="F13">
        <f t="shared" si="0"/>
        <v>0.25</v>
      </c>
      <c r="G13">
        <v>0</v>
      </c>
      <c r="H13">
        <v>20</v>
      </c>
      <c r="I13">
        <f t="shared" si="1"/>
        <v>5</v>
      </c>
      <c r="J13">
        <v>8</v>
      </c>
      <c r="K13">
        <v>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35">
      <c r="A14" t="s">
        <v>3</v>
      </c>
      <c r="B14">
        <v>3</v>
      </c>
      <c r="C14" t="s">
        <v>2</v>
      </c>
      <c r="D14" t="s">
        <v>41</v>
      </c>
      <c r="E14">
        <v>0.78</v>
      </c>
      <c r="F14">
        <f t="shared" si="0"/>
        <v>0.8</v>
      </c>
      <c r="G14">
        <v>0</v>
      </c>
      <c r="H14">
        <v>20</v>
      </c>
      <c r="I14">
        <f t="shared" si="1"/>
        <v>16</v>
      </c>
      <c r="J14">
        <v>8</v>
      </c>
      <c r="K14">
        <v>17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13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35">
      <c r="A15" t="s">
        <v>3</v>
      </c>
      <c r="B15">
        <v>3</v>
      </c>
      <c r="C15" t="s">
        <v>2</v>
      </c>
      <c r="D15" t="s">
        <v>22</v>
      </c>
      <c r="E15">
        <v>0.72</v>
      </c>
      <c r="F15">
        <f t="shared" si="0"/>
        <v>0.8</v>
      </c>
      <c r="G15">
        <v>0</v>
      </c>
      <c r="H15">
        <v>20</v>
      </c>
      <c r="I15">
        <f t="shared" si="1"/>
        <v>16</v>
      </c>
      <c r="J15">
        <v>8</v>
      </c>
      <c r="K15">
        <v>15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7</v>
      </c>
      <c r="V15">
        <v>0</v>
      </c>
      <c r="W15">
        <v>0</v>
      </c>
      <c r="X15">
        <v>0</v>
      </c>
      <c r="Y15">
        <v>0</v>
      </c>
      <c r="Z15">
        <v>7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35">
      <c r="A16" t="s">
        <v>3</v>
      </c>
      <c r="B16">
        <v>3</v>
      </c>
      <c r="C16" t="s">
        <v>2</v>
      </c>
      <c r="D16" t="s">
        <v>21</v>
      </c>
      <c r="E16" s="5">
        <v>0.85</v>
      </c>
      <c r="F16">
        <f t="shared" si="0"/>
        <v>0.65</v>
      </c>
      <c r="G16">
        <v>0</v>
      </c>
      <c r="H16">
        <v>20</v>
      </c>
      <c r="I16">
        <f t="shared" si="1"/>
        <v>13</v>
      </c>
      <c r="J16">
        <v>10</v>
      </c>
      <c r="K16">
        <v>10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 x14ac:dyDescent="0.35">
      <c r="A17" t="s">
        <v>5</v>
      </c>
      <c r="B17">
        <v>3</v>
      </c>
      <c r="C17" t="s">
        <v>2</v>
      </c>
      <c r="D17" t="s">
        <v>23</v>
      </c>
      <c r="E17">
        <v>1</v>
      </c>
      <c r="F17">
        <f t="shared" si="0"/>
        <v>0.85</v>
      </c>
      <c r="G17">
        <v>0</v>
      </c>
      <c r="H17">
        <v>20</v>
      </c>
      <c r="I17">
        <f t="shared" si="1"/>
        <v>17</v>
      </c>
      <c r="J17">
        <v>8</v>
      </c>
      <c r="K17">
        <v>20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</v>
      </c>
      <c r="T17">
        <v>0</v>
      </c>
      <c r="U17">
        <v>9</v>
      </c>
      <c r="V17">
        <v>0</v>
      </c>
      <c r="W17">
        <v>0</v>
      </c>
      <c r="X17">
        <v>0</v>
      </c>
      <c r="Y17">
        <v>0</v>
      </c>
      <c r="Z17">
        <v>3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35">
      <c r="A18" t="s">
        <v>5</v>
      </c>
      <c r="B18">
        <v>3</v>
      </c>
      <c r="C18" t="s">
        <v>2</v>
      </c>
      <c r="D18" t="s">
        <v>24</v>
      </c>
      <c r="E18">
        <v>0.95</v>
      </c>
      <c r="F18">
        <f t="shared" si="0"/>
        <v>0.85</v>
      </c>
      <c r="G18">
        <v>0</v>
      </c>
      <c r="H18">
        <v>20</v>
      </c>
      <c r="I18">
        <f t="shared" si="1"/>
        <v>17</v>
      </c>
      <c r="J18">
        <v>10</v>
      </c>
      <c r="K18">
        <v>15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</v>
      </c>
      <c r="V18">
        <v>0</v>
      </c>
      <c r="W18">
        <v>0</v>
      </c>
      <c r="X18">
        <v>0</v>
      </c>
      <c r="Y18">
        <v>0</v>
      </c>
      <c r="Z18">
        <v>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35">
      <c r="A19" t="s">
        <v>5</v>
      </c>
      <c r="B19">
        <v>3</v>
      </c>
      <c r="C19" t="s">
        <v>2</v>
      </c>
      <c r="D19" t="s">
        <v>25</v>
      </c>
      <c r="E19">
        <v>0.67</v>
      </c>
      <c r="F19">
        <f t="shared" si="0"/>
        <v>0.55000000000000004</v>
      </c>
      <c r="G19">
        <v>0</v>
      </c>
      <c r="H19">
        <v>20</v>
      </c>
      <c r="I19">
        <f t="shared" si="1"/>
        <v>11</v>
      </c>
      <c r="J19">
        <v>10</v>
      </c>
      <c r="K19">
        <v>17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8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35">
      <c r="A20" t="s">
        <v>5</v>
      </c>
      <c r="B20">
        <v>3</v>
      </c>
      <c r="C20" t="s">
        <v>2</v>
      </c>
      <c r="D20" t="s">
        <v>26</v>
      </c>
      <c r="E20">
        <v>0.99</v>
      </c>
      <c r="F20">
        <f t="shared" si="0"/>
        <v>0.9</v>
      </c>
      <c r="G20">
        <v>0</v>
      </c>
      <c r="H20">
        <v>20</v>
      </c>
      <c r="I20">
        <f t="shared" si="1"/>
        <v>18</v>
      </c>
      <c r="J20">
        <v>8</v>
      </c>
      <c r="K20">
        <v>15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8</v>
      </c>
      <c r="V20">
        <v>0</v>
      </c>
      <c r="W20">
        <v>0</v>
      </c>
      <c r="X20">
        <v>0</v>
      </c>
      <c r="Y20">
        <v>0</v>
      </c>
      <c r="Z20">
        <v>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35">
      <c r="A21" t="s">
        <v>5</v>
      </c>
      <c r="B21">
        <v>3</v>
      </c>
      <c r="C21" t="s">
        <v>2</v>
      </c>
      <c r="D21" t="s">
        <v>10</v>
      </c>
      <c r="E21">
        <v>1</v>
      </c>
      <c r="F21">
        <f t="shared" si="0"/>
        <v>0.95</v>
      </c>
      <c r="G21">
        <v>0</v>
      </c>
      <c r="H21">
        <v>20</v>
      </c>
      <c r="I21">
        <f t="shared" si="1"/>
        <v>19</v>
      </c>
      <c r="J21">
        <v>8</v>
      </c>
      <c r="K21">
        <v>17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6</v>
      </c>
      <c r="V21">
        <v>0</v>
      </c>
      <c r="W21">
        <v>0</v>
      </c>
      <c r="X21">
        <v>0</v>
      </c>
      <c r="Y21">
        <v>0</v>
      </c>
      <c r="Z21">
        <v>11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35">
      <c r="A22" t="s">
        <v>5</v>
      </c>
      <c r="B22">
        <v>3</v>
      </c>
      <c r="C22" t="s">
        <v>2</v>
      </c>
      <c r="D22" t="s">
        <v>27</v>
      </c>
      <c r="E22">
        <v>0.89</v>
      </c>
      <c r="F22">
        <f t="shared" si="0"/>
        <v>0.8</v>
      </c>
      <c r="G22">
        <v>0</v>
      </c>
      <c r="H22">
        <v>20</v>
      </c>
      <c r="I22">
        <f t="shared" si="1"/>
        <v>16</v>
      </c>
      <c r="J22">
        <v>15</v>
      </c>
      <c r="K22">
        <v>17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14</v>
      </c>
      <c r="AA22">
        <v>0</v>
      </c>
      <c r="AB22">
        <v>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 x14ac:dyDescent="0.35">
      <c r="A23" t="s">
        <v>5</v>
      </c>
      <c r="B23">
        <v>3</v>
      </c>
      <c r="C23" t="s">
        <v>2</v>
      </c>
      <c r="D23" t="s">
        <v>15</v>
      </c>
      <c r="E23">
        <v>0.94</v>
      </c>
      <c r="F23">
        <f t="shared" si="0"/>
        <v>0.75</v>
      </c>
      <c r="G23">
        <v>0</v>
      </c>
      <c r="H23">
        <v>20</v>
      </c>
      <c r="I23">
        <f t="shared" si="1"/>
        <v>15</v>
      </c>
      <c r="J23">
        <v>15</v>
      </c>
      <c r="K23">
        <v>17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13</v>
      </c>
      <c r="AA23">
        <v>0</v>
      </c>
      <c r="AB23">
        <v>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35">
      <c r="A24" t="s">
        <v>5</v>
      </c>
      <c r="B24">
        <v>3</v>
      </c>
      <c r="C24" t="s">
        <v>2</v>
      </c>
      <c r="D24" t="s">
        <v>28</v>
      </c>
      <c r="E24">
        <v>0.91</v>
      </c>
      <c r="F24">
        <f t="shared" si="0"/>
        <v>0.8</v>
      </c>
      <c r="G24">
        <v>0</v>
      </c>
      <c r="H24">
        <v>20</v>
      </c>
      <c r="I24">
        <f t="shared" si="1"/>
        <v>16</v>
      </c>
      <c r="J24">
        <v>10</v>
      </c>
      <c r="K24">
        <v>20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</v>
      </c>
      <c r="V24">
        <v>0</v>
      </c>
      <c r="W24">
        <v>0</v>
      </c>
      <c r="X24">
        <v>0</v>
      </c>
      <c r="Y24">
        <v>0</v>
      </c>
      <c r="Z24">
        <v>11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35">
      <c r="A25" t="s">
        <v>5</v>
      </c>
      <c r="B25">
        <v>3</v>
      </c>
      <c r="C25" t="s">
        <v>2</v>
      </c>
      <c r="D25" t="s">
        <v>29</v>
      </c>
      <c r="E25">
        <v>0.81</v>
      </c>
      <c r="F25">
        <f t="shared" si="0"/>
        <v>0.9</v>
      </c>
      <c r="G25">
        <v>0</v>
      </c>
      <c r="H25">
        <v>20</v>
      </c>
      <c r="I25">
        <f t="shared" si="1"/>
        <v>18</v>
      </c>
      <c r="J25">
        <v>8</v>
      </c>
      <c r="K25">
        <v>15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6</v>
      </c>
      <c r="T25">
        <v>0</v>
      </c>
      <c r="U25">
        <v>6</v>
      </c>
      <c r="V25">
        <v>0</v>
      </c>
      <c r="W25">
        <v>0</v>
      </c>
      <c r="X25">
        <v>0</v>
      </c>
      <c r="Y25">
        <v>0</v>
      </c>
      <c r="Z25">
        <v>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35">
      <c r="A26" t="s">
        <v>5</v>
      </c>
      <c r="B26">
        <v>3</v>
      </c>
      <c r="C26" t="s">
        <v>2</v>
      </c>
      <c r="D26" t="s">
        <v>30</v>
      </c>
      <c r="E26">
        <v>0.91</v>
      </c>
      <c r="F26">
        <f t="shared" si="0"/>
        <v>0.8</v>
      </c>
      <c r="G26">
        <v>0</v>
      </c>
      <c r="H26">
        <v>20</v>
      </c>
      <c r="I26">
        <f t="shared" si="1"/>
        <v>16</v>
      </c>
      <c r="J26">
        <v>15</v>
      </c>
      <c r="K26">
        <v>15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s="7" customFormat="1" x14ac:dyDescent="0.35">
      <c r="A27" t="s">
        <v>5</v>
      </c>
      <c r="B27">
        <v>3</v>
      </c>
      <c r="C27" t="s">
        <v>2</v>
      </c>
      <c r="D27" t="s">
        <v>31</v>
      </c>
      <c r="E27">
        <v>0.95</v>
      </c>
      <c r="F27">
        <f t="shared" si="0"/>
        <v>1</v>
      </c>
      <c r="G27">
        <v>0</v>
      </c>
      <c r="H27">
        <v>20</v>
      </c>
      <c r="I27">
        <f t="shared" si="1"/>
        <v>20</v>
      </c>
      <c r="J27">
        <v>10</v>
      </c>
      <c r="K27">
        <v>15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18</v>
      </c>
      <c r="V27">
        <v>0</v>
      </c>
      <c r="W27">
        <v>0</v>
      </c>
      <c r="X27">
        <v>0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35">
      <c r="A28" t="s">
        <v>5</v>
      </c>
      <c r="B28">
        <v>3</v>
      </c>
      <c r="C28" t="s">
        <v>2</v>
      </c>
      <c r="D28" t="s">
        <v>32</v>
      </c>
      <c r="E28">
        <v>0.84</v>
      </c>
      <c r="F28">
        <f t="shared" si="0"/>
        <v>0.4</v>
      </c>
      <c r="G28">
        <v>0</v>
      </c>
      <c r="H28">
        <v>20</v>
      </c>
      <c r="I28">
        <f t="shared" si="1"/>
        <v>8</v>
      </c>
      <c r="J28">
        <v>10</v>
      </c>
      <c r="K28">
        <v>15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7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35">
      <c r="A29" t="s">
        <v>5</v>
      </c>
      <c r="B29">
        <v>3</v>
      </c>
      <c r="C29" t="s">
        <v>2</v>
      </c>
      <c r="D29" t="s">
        <v>21</v>
      </c>
      <c r="E29">
        <v>0.85</v>
      </c>
      <c r="F29">
        <f t="shared" si="0"/>
        <v>0.8</v>
      </c>
      <c r="G29">
        <v>0</v>
      </c>
      <c r="H29">
        <v>20</v>
      </c>
      <c r="I29">
        <f t="shared" si="1"/>
        <v>16</v>
      </c>
      <c r="J29">
        <v>8</v>
      </c>
      <c r="K29">
        <v>15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</v>
      </c>
      <c r="T29">
        <v>0</v>
      </c>
      <c r="U29">
        <v>13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s="7" customFormat="1" x14ac:dyDescent="0.35">
      <c r="A30" t="s">
        <v>5</v>
      </c>
      <c r="B30">
        <v>3</v>
      </c>
      <c r="C30" t="s">
        <v>2</v>
      </c>
      <c r="D30" t="s">
        <v>33</v>
      </c>
      <c r="E30">
        <v>0.97</v>
      </c>
      <c r="F30">
        <f t="shared" si="0"/>
        <v>1</v>
      </c>
      <c r="G30">
        <v>0</v>
      </c>
      <c r="H30">
        <v>20</v>
      </c>
      <c r="I30">
        <f t="shared" si="1"/>
        <v>20</v>
      </c>
      <c r="J30">
        <v>10</v>
      </c>
      <c r="K30">
        <v>15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</v>
      </c>
      <c r="V30">
        <v>0</v>
      </c>
      <c r="W30">
        <v>0</v>
      </c>
      <c r="X30">
        <v>0</v>
      </c>
      <c r="Y30">
        <v>0</v>
      </c>
      <c r="Z30">
        <v>10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35">
      <c r="A31" t="s">
        <v>5</v>
      </c>
      <c r="B31">
        <v>3</v>
      </c>
      <c r="C31" t="s">
        <v>2</v>
      </c>
      <c r="D31" t="s">
        <v>34</v>
      </c>
      <c r="E31" s="5">
        <v>0.93</v>
      </c>
      <c r="F31">
        <f t="shared" si="0"/>
        <v>0.9</v>
      </c>
      <c r="G31">
        <v>0</v>
      </c>
      <c r="H31">
        <v>20</v>
      </c>
      <c r="I31">
        <f t="shared" si="1"/>
        <v>18</v>
      </c>
      <c r="J31">
        <v>10</v>
      </c>
      <c r="K31">
        <v>15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</v>
      </c>
      <c r="V31">
        <v>0</v>
      </c>
      <c r="W31">
        <v>0</v>
      </c>
      <c r="X31">
        <v>0</v>
      </c>
      <c r="Y31">
        <v>0</v>
      </c>
      <c r="Z31">
        <v>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35">
      <c r="A32" t="s">
        <v>6</v>
      </c>
      <c r="B32">
        <v>3</v>
      </c>
      <c r="C32" t="s">
        <v>2</v>
      </c>
      <c r="D32" t="s">
        <v>24</v>
      </c>
      <c r="E32">
        <v>0.95</v>
      </c>
      <c r="F32">
        <f t="shared" si="0"/>
        <v>0.95</v>
      </c>
      <c r="G32">
        <v>0</v>
      </c>
      <c r="H32">
        <v>20</v>
      </c>
      <c r="I32">
        <f t="shared" si="1"/>
        <v>19</v>
      </c>
      <c r="J32">
        <v>10</v>
      </c>
      <c r="K32">
        <v>15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</v>
      </c>
      <c r="V32">
        <v>0</v>
      </c>
      <c r="W32">
        <v>0</v>
      </c>
      <c r="X32">
        <v>0</v>
      </c>
      <c r="Y32">
        <v>0</v>
      </c>
      <c r="Z32">
        <v>16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s="7" customFormat="1" x14ac:dyDescent="0.35">
      <c r="A33" t="s">
        <v>6</v>
      </c>
      <c r="B33">
        <v>3</v>
      </c>
      <c r="C33" t="s">
        <v>2</v>
      </c>
      <c r="D33" t="s">
        <v>35</v>
      </c>
      <c r="E33">
        <v>0.79</v>
      </c>
      <c r="F33">
        <f t="shared" si="0"/>
        <v>1</v>
      </c>
      <c r="G33">
        <v>0</v>
      </c>
      <c r="H33">
        <v>20</v>
      </c>
      <c r="I33">
        <f t="shared" si="1"/>
        <v>20</v>
      </c>
      <c r="J33">
        <v>15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14</v>
      </c>
      <c r="AA33">
        <v>0</v>
      </c>
      <c r="AB33">
        <v>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35">
      <c r="A34" t="s">
        <v>6</v>
      </c>
      <c r="B34">
        <v>3</v>
      </c>
      <c r="C34" t="s">
        <v>2</v>
      </c>
      <c r="D34" t="s">
        <v>27</v>
      </c>
      <c r="E34">
        <v>0.89</v>
      </c>
      <c r="F34">
        <f t="shared" si="0"/>
        <v>0.85</v>
      </c>
      <c r="G34">
        <v>0</v>
      </c>
      <c r="H34">
        <v>20</v>
      </c>
      <c r="I34">
        <f t="shared" si="1"/>
        <v>17</v>
      </c>
      <c r="J34">
        <v>15</v>
      </c>
      <c r="K34">
        <v>20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16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35">
      <c r="A35" t="s">
        <v>6</v>
      </c>
      <c r="B35">
        <v>3</v>
      </c>
      <c r="C35" t="s">
        <v>2</v>
      </c>
      <c r="D35" t="s">
        <v>14</v>
      </c>
      <c r="E35">
        <v>0.93</v>
      </c>
      <c r="F35">
        <f t="shared" si="0"/>
        <v>0.85</v>
      </c>
      <c r="G35">
        <v>0</v>
      </c>
      <c r="H35">
        <v>20</v>
      </c>
      <c r="I35">
        <f t="shared" si="1"/>
        <v>17</v>
      </c>
      <c r="J35">
        <v>15</v>
      </c>
      <c r="K35">
        <v>15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17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5">
      <c r="A36" t="s">
        <v>6</v>
      </c>
      <c r="B36">
        <v>3</v>
      </c>
      <c r="C36" t="s">
        <v>2</v>
      </c>
      <c r="D36" t="s">
        <v>36</v>
      </c>
      <c r="E36">
        <v>0.96</v>
      </c>
      <c r="F36">
        <f t="shared" si="0"/>
        <v>0.65</v>
      </c>
      <c r="G36">
        <v>0</v>
      </c>
      <c r="H36">
        <v>20</v>
      </c>
      <c r="I36">
        <f t="shared" si="1"/>
        <v>13</v>
      </c>
      <c r="J36">
        <v>15</v>
      </c>
      <c r="K36">
        <v>20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11</v>
      </c>
      <c r="AA36">
        <v>0</v>
      </c>
      <c r="AB36">
        <v>0</v>
      </c>
      <c r="AC36">
        <v>0</v>
      </c>
      <c r="AD36">
        <v>0</v>
      </c>
      <c r="AE36">
        <v>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35">
      <c r="A37" t="s">
        <v>6</v>
      </c>
      <c r="B37">
        <v>3</v>
      </c>
      <c r="C37" t="s">
        <v>2</v>
      </c>
      <c r="D37" t="s">
        <v>17</v>
      </c>
      <c r="E37">
        <v>0.95</v>
      </c>
      <c r="F37">
        <f t="shared" si="0"/>
        <v>0.9</v>
      </c>
      <c r="G37">
        <v>0</v>
      </c>
      <c r="H37">
        <v>20</v>
      </c>
      <c r="I37">
        <f t="shared" si="1"/>
        <v>18</v>
      </c>
      <c r="J37">
        <v>10</v>
      </c>
      <c r="K37">
        <v>15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17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35">
      <c r="A38" t="s">
        <v>6</v>
      </c>
      <c r="B38">
        <v>3</v>
      </c>
      <c r="C38" t="s">
        <v>2</v>
      </c>
      <c r="D38" t="s">
        <v>18</v>
      </c>
      <c r="E38">
        <v>0.93</v>
      </c>
      <c r="F38">
        <f t="shared" si="0"/>
        <v>0.9</v>
      </c>
      <c r="G38">
        <v>0</v>
      </c>
      <c r="H38">
        <v>20</v>
      </c>
      <c r="I38">
        <f t="shared" si="1"/>
        <v>18</v>
      </c>
      <c r="J38">
        <v>8</v>
      </c>
      <c r="K38">
        <v>10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6</v>
      </c>
      <c r="T38">
        <v>0</v>
      </c>
      <c r="U38">
        <v>12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35">
      <c r="A39" t="s">
        <v>6</v>
      </c>
      <c r="B39">
        <v>3</v>
      </c>
      <c r="C39" t="s">
        <v>2</v>
      </c>
      <c r="D39" t="s">
        <v>37</v>
      </c>
      <c r="E39">
        <v>0.95</v>
      </c>
      <c r="F39">
        <f t="shared" si="0"/>
        <v>0.85</v>
      </c>
      <c r="G39">
        <v>0</v>
      </c>
      <c r="H39">
        <v>20</v>
      </c>
      <c r="I39">
        <f t="shared" si="1"/>
        <v>17</v>
      </c>
      <c r="J39">
        <v>8</v>
      </c>
      <c r="K39">
        <v>15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</v>
      </c>
      <c r="T39">
        <v>0</v>
      </c>
      <c r="U39">
        <v>9</v>
      </c>
      <c r="V39">
        <v>0</v>
      </c>
      <c r="W39">
        <v>0</v>
      </c>
      <c r="X39">
        <v>0</v>
      </c>
      <c r="Y39">
        <v>0</v>
      </c>
      <c r="Z39">
        <v>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35">
      <c r="A40" t="s">
        <v>6</v>
      </c>
      <c r="B40">
        <v>3</v>
      </c>
      <c r="C40" t="s">
        <v>2</v>
      </c>
      <c r="D40" t="s">
        <v>38</v>
      </c>
      <c r="E40">
        <v>0.92</v>
      </c>
      <c r="F40">
        <f t="shared" si="0"/>
        <v>0.95</v>
      </c>
      <c r="G40">
        <v>0</v>
      </c>
      <c r="H40">
        <v>20</v>
      </c>
      <c r="I40">
        <f t="shared" si="1"/>
        <v>19</v>
      </c>
      <c r="J40">
        <v>15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17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35">
      <c r="A41" t="s">
        <v>6</v>
      </c>
      <c r="B41">
        <v>3</v>
      </c>
      <c r="C41" t="s">
        <v>2</v>
      </c>
      <c r="D41" t="s">
        <v>39</v>
      </c>
      <c r="E41">
        <v>0.79</v>
      </c>
      <c r="F41">
        <f t="shared" si="0"/>
        <v>0.8</v>
      </c>
      <c r="G41">
        <v>0</v>
      </c>
      <c r="H41">
        <v>20</v>
      </c>
      <c r="I41">
        <f t="shared" si="1"/>
        <v>16</v>
      </c>
      <c r="J41">
        <v>10</v>
      </c>
      <c r="K41">
        <v>15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12</v>
      </c>
      <c r="V41">
        <v>0</v>
      </c>
      <c r="W41">
        <v>0</v>
      </c>
      <c r="X41">
        <v>0</v>
      </c>
      <c r="Y41">
        <v>0</v>
      </c>
      <c r="Z41">
        <v>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35">
      <c r="A42" t="s">
        <v>6</v>
      </c>
      <c r="B42">
        <v>3</v>
      </c>
      <c r="C42" t="s">
        <v>2</v>
      </c>
      <c r="D42" t="s">
        <v>40</v>
      </c>
      <c r="E42">
        <v>0.96</v>
      </c>
      <c r="F42">
        <f t="shared" si="0"/>
        <v>0.85</v>
      </c>
      <c r="G42">
        <v>0</v>
      </c>
      <c r="H42">
        <v>20</v>
      </c>
      <c r="I42">
        <f t="shared" si="1"/>
        <v>17</v>
      </c>
      <c r="J42">
        <v>15</v>
      </c>
      <c r="K42">
        <v>20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15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35">
      <c r="A43" t="s">
        <v>6</v>
      </c>
      <c r="B43">
        <v>3</v>
      </c>
      <c r="C43" t="s">
        <v>2</v>
      </c>
      <c r="D43" t="s">
        <v>20</v>
      </c>
      <c r="E43">
        <v>0.12</v>
      </c>
      <c r="F43">
        <f t="shared" si="0"/>
        <v>0.05</v>
      </c>
      <c r="G43">
        <v>0</v>
      </c>
      <c r="H43">
        <v>20</v>
      </c>
      <c r="I43">
        <f t="shared" si="1"/>
        <v>1</v>
      </c>
      <c r="J43">
        <v>17</v>
      </c>
      <c r="K43">
        <v>17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35">
      <c r="A44" t="s">
        <v>6</v>
      </c>
      <c r="B44">
        <v>3</v>
      </c>
      <c r="C44" t="s">
        <v>2</v>
      </c>
      <c r="D44" t="s">
        <v>41</v>
      </c>
      <c r="E44">
        <v>0.78</v>
      </c>
      <c r="F44">
        <f t="shared" si="0"/>
        <v>0.7</v>
      </c>
      <c r="G44">
        <v>0</v>
      </c>
      <c r="H44">
        <v>20</v>
      </c>
      <c r="I44">
        <f t="shared" si="1"/>
        <v>14</v>
      </c>
      <c r="J44">
        <v>10</v>
      </c>
      <c r="K44">
        <v>15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10</v>
      </c>
      <c r="V44">
        <v>0</v>
      </c>
      <c r="W44">
        <v>0</v>
      </c>
      <c r="X44">
        <v>0</v>
      </c>
      <c r="Y44">
        <v>0</v>
      </c>
      <c r="Z44">
        <v>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35">
      <c r="A45" t="s">
        <v>6</v>
      </c>
      <c r="B45">
        <v>3</v>
      </c>
      <c r="C45" t="s">
        <v>2</v>
      </c>
      <c r="D45" t="s">
        <v>42</v>
      </c>
      <c r="E45">
        <v>0.79</v>
      </c>
      <c r="F45">
        <f t="shared" si="0"/>
        <v>0.7</v>
      </c>
      <c r="G45">
        <v>0</v>
      </c>
      <c r="H45">
        <v>20</v>
      </c>
      <c r="I45">
        <f t="shared" si="1"/>
        <v>14</v>
      </c>
      <c r="J45">
        <v>10</v>
      </c>
      <c r="K45">
        <v>15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13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35">
      <c r="A46" t="s">
        <v>6</v>
      </c>
      <c r="B46">
        <v>3</v>
      </c>
      <c r="C46" t="s">
        <v>2</v>
      </c>
      <c r="D46" t="s">
        <v>43</v>
      </c>
      <c r="E46" s="5">
        <v>0.88</v>
      </c>
      <c r="F46">
        <f t="shared" si="0"/>
        <v>0.8</v>
      </c>
      <c r="G46">
        <v>0</v>
      </c>
      <c r="H46">
        <v>20</v>
      </c>
      <c r="I46">
        <f t="shared" si="1"/>
        <v>16</v>
      </c>
      <c r="J46">
        <v>10</v>
      </c>
      <c r="K46">
        <v>15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13</v>
      </c>
      <c r="V46">
        <v>0</v>
      </c>
      <c r="W46">
        <v>0</v>
      </c>
      <c r="X46">
        <v>0</v>
      </c>
      <c r="Y46">
        <v>0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35">
      <c r="A47" t="s">
        <v>7</v>
      </c>
      <c r="B47">
        <v>3</v>
      </c>
      <c r="C47" t="s">
        <v>2</v>
      </c>
      <c r="D47" t="s">
        <v>24</v>
      </c>
      <c r="E47">
        <v>0.95</v>
      </c>
      <c r="F47">
        <f t="shared" si="0"/>
        <v>0.95</v>
      </c>
      <c r="G47">
        <v>0</v>
      </c>
      <c r="H47">
        <v>20</v>
      </c>
      <c r="I47">
        <f t="shared" si="1"/>
        <v>19</v>
      </c>
      <c r="J47">
        <v>10</v>
      </c>
      <c r="K47">
        <v>20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12</v>
      </c>
      <c r="V47">
        <v>0</v>
      </c>
      <c r="W47">
        <v>0</v>
      </c>
      <c r="X47">
        <v>0</v>
      </c>
      <c r="Y47">
        <v>0</v>
      </c>
      <c r="Z47">
        <v>6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35">
      <c r="A48" t="s">
        <v>7</v>
      </c>
      <c r="B48">
        <v>3</v>
      </c>
      <c r="C48" t="s">
        <v>2</v>
      </c>
      <c r="D48" t="s">
        <v>13</v>
      </c>
      <c r="E48">
        <v>0.9</v>
      </c>
      <c r="F48">
        <f t="shared" si="0"/>
        <v>0.8</v>
      </c>
      <c r="G48">
        <v>0</v>
      </c>
      <c r="H48">
        <v>20</v>
      </c>
      <c r="I48">
        <f t="shared" si="1"/>
        <v>16</v>
      </c>
      <c r="J48">
        <v>10</v>
      </c>
      <c r="K48">
        <v>15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</v>
      </c>
      <c r="V48">
        <v>0</v>
      </c>
      <c r="W48">
        <v>0</v>
      </c>
      <c r="X48">
        <v>0</v>
      </c>
      <c r="Y48">
        <v>0</v>
      </c>
      <c r="Z48">
        <v>12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35">
      <c r="A49" t="s">
        <v>7</v>
      </c>
      <c r="B49">
        <v>3</v>
      </c>
      <c r="C49" t="s">
        <v>2</v>
      </c>
      <c r="D49" t="s">
        <v>25</v>
      </c>
      <c r="E49">
        <v>0.67</v>
      </c>
      <c r="F49">
        <f t="shared" si="0"/>
        <v>0.75</v>
      </c>
      <c r="G49">
        <v>0</v>
      </c>
      <c r="H49">
        <v>20</v>
      </c>
      <c r="I49">
        <f t="shared" si="1"/>
        <v>15</v>
      </c>
      <c r="J49">
        <v>8</v>
      </c>
      <c r="K49">
        <v>15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9</v>
      </c>
      <c r="V49">
        <v>0</v>
      </c>
      <c r="W49">
        <v>0</v>
      </c>
      <c r="X49">
        <v>0</v>
      </c>
      <c r="Y49">
        <v>0</v>
      </c>
      <c r="Z49">
        <v>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s="7" customFormat="1" x14ac:dyDescent="0.35">
      <c r="A50" t="s">
        <v>7</v>
      </c>
      <c r="B50">
        <v>3</v>
      </c>
      <c r="C50" t="s">
        <v>2</v>
      </c>
      <c r="D50" t="s">
        <v>26</v>
      </c>
      <c r="E50">
        <v>0.99</v>
      </c>
      <c r="F50">
        <f t="shared" si="0"/>
        <v>1</v>
      </c>
      <c r="G50">
        <v>0</v>
      </c>
      <c r="H50">
        <v>20</v>
      </c>
      <c r="I50">
        <f t="shared" si="1"/>
        <v>20</v>
      </c>
      <c r="J50">
        <v>8</v>
      </c>
      <c r="K50">
        <v>15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</v>
      </c>
      <c r="T50">
        <v>0</v>
      </c>
      <c r="U50">
        <v>15</v>
      </c>
      <c r="V50">
        <v>0</v>
      </c>
      <c r="W50">
        <v>0</v>
      </c>
      <c r="X50">
        <v>0</v>
      </c>
      <c r="Y50">
        <v>0</v>
      </c>
      <c r="Z50">
        <v>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35">
      <c r="A51" t="s">
        <v>7</v>
      </c>
      <c r="B51">
        <v>3</v>
      </c>
      <c r="C51" t="s">
        <v>2</v>
      </c>
      <c r="D51" t="s">
        <v>36</v>
      </c>
      <c r="E51">
        <v>0.96</v>
      </c>
      <c r="F51">
        <f t="shared" si="0"/>
        <v>0.9</v>
      </c>
      <c r="G51">
        <v>0</v>
      </c>
      <c r="H51">
        <v>20</v>
      </c>
      <c r="I51">
        <f t="shared" si="1"/>
        <v>18</v>
      </c>
      <c r="J51">
        <v>10</v>
      </c>
      <c r="K51">
        <v>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3</v>
      </c>
      <c r="V51">
        <v>0</v>
      </c>
      <c r="W51">
        <v>0</v>
      </c>
      <c r="X51">
        <v>0</v>
      </c>
      <c r="Y51">
        <v>0</v>
      </c>
      <c r="Z51">
        <v>14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35">
      <c r="A52" t="s">
        <v>7</v>
      </c>
      <c r="B52">
        <v>3</v>
      </c>
      <c r="C52" t="s">
        <v>2</v>
      </c>
      <c r="D52" t="s">
        <v>88</v>
      </c>
      <c r="E52">
        <v>0.78</v>
      </c>
      <c r="F52">
        <f t="shared" si="0"/>
        <v>0.5</v>
      </c>
      <c r="G52">
        <v>0</v>
      </c>
      <c r="H52">
        <v>20</v>
      </c>
      <c r="I52">
        <f t="shared" si="1"/>
        <v>10</v>
      </c>
      <c r="J52">
        <v>10</v>
      </c>
      <c r="K52">
        <v>20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3</v>
      </c>
      <c r="V52">
        <v>0</v>
      </c>
      <c r="W52">
        <v>0</v>
      </c>
      <c r="X52">
        <v>0</v>
      </c>
      <c r="Y52">
        <v>0</v>
      </c>
      <c r="Z52">
        <v>6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5">
      <c r="A53" t="s">
        <v>7</v>
      </c>
      <c r="B53">
        <v>3</v>
      </c>
      <c r="C53" t="s">
        <v>2</v>
      </c>
      <c r="D53" t="s">
        <v>11</v>
      </c>
      <c r="E53">
        <v>0.75</v>
      </c>
      <c r="F53">
        <f t="shared" si="0"/>
        <v>0.7</v>
      </c>
      <c r="G53">
        <v>0</v>
      </c>
      <c r="H53">
        <v>20</v>
      </c>
      <c r="I53">
        <f t="shared" si="1"/>
        <v>14</v>
      </c>
      <c r="J53">
        <v>10</v>
      </c>
      <c r="K53">
        <v>22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</v>
      </c>
      <c r="V53">
        <v>0</v>
      </c>
      <c r="W53">
        <v>0</v>
      </c>
      <c r="X53">
        <v>0</v>
      </c>
      <c r="Y53">
        <v>0</v>
      </c>
      <c r="Z53">
        <v>6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35">
      <c r="A54" t="s">
        <v>7</v>
      </c>
      <c r="B54">
        <v>3</v>
      </c>
      <c r="C54" t="s">
        <v>2</v>
      </c>
      <c r="D54" t="s">
        <v>39</v>
      </c>
      <c r="E54">
        <v>0.79</v>
      </c>
      <c r="F54">
        <f t="shared" si="0"/>
        <v>0.9</v>
      </c>
      <c r="G54">
        <v>0</v>
      </c>
      <c r="H54">
        <v>20</v>
      </c>
      <c r="I54">
        <f t="shared" si="1"/>
        <v>18</v>
      </c>
      <c r="J54">
        <v>10</v>
      </c>
      <c r="K54">
        <v>15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11</v>
      </c>
      <c r="V54">
        <v>0</v>
      </c>
      <c r="W54">
        <v>0</v>
      </c>
      <c r="X54">
        <v>0</v>
      </c>
      <c r="Y54">
        <v>0</v>
      </c>
      <c r="Z54">
        <v>7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s="7" customFormat="1" x14ac:dyDescent="0.35">
      <c r="A55" t="s">
        <v>7</v>
      </c>
      <c r="B55">
        <v>3</v>
      </c>
      <c r="C55" t="s">
        <v>2</v>
      </c>
      <c r="D55" t="s">
        <v>31</v>
      </c>
      <c r="E55">
        <v>0.95</v>
      </c>
      <c r="F55">
        <f t="shared" si="0"/>
        <v>1</v>
      </c>
      <c r="G55">
        <v>0</v>
      </c>
      <c r="H55">
        <v>20</v>
      </c>
      <c r="I55">
        <f t="shared" si="1"/>
        <v>20</v>
      </c>
      <c r="J55">
        <v>10</v>
      </c>
      <c r="K55">
        <v>15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18</v>
      </c>
      <c r="V55">
        <v>0</v>
      </c>
      <c r="W55">
        <v>0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5">
      <c r="A56" t="s">
        <v>7</v>
      </c>
      <c r="B56">
        <v>3</v>
      </c>
      <c r="C56" t="s">
        <v>2</v>
      </c>
      <c r="D56" t="s">
        <v>32</v>
      </c>
      <c r="E56">
        <v>0.84</v>
      </c>
      <c r="F56">
        <f t="shared" si="0"/>
        <v>0.95</v>
      </c>
      <c r="G56">
        <v>0</v>
      </c>
      <c r="H56">
        <v>20</v>
      </c>
      <c r="I56">
        <f t="shared" si="1"/>
        <v>19</v>
      </c>
      <c r="J56">
        <v>8</v>
      </c>
      <c r="K56">
        <v>15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16</v>
      </c>
      <c r="V56">
        <v>0</v>
      </c>
      <c r="W56">
        <v>0</v>
      </c>
      <c r="X56">
        <v>0</v>
      </c>
      <c r="Y56">
        <v>0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35">
      <c r="A57" t="s">
        <v>7</v>
      </c>
      <c r="B57">
        <v>3</v>
      </c>
      <c r="C57" t="s">
        <v>2</v>
      </c>
      <c r="D57" t="s">
        <v>12</v>
      </c>
      <c r="E57">
        <v>0.74</v>
      </c>
      <c r="F57">
        <f t="shared" si="0"/>
        <v>0.55000000000000004</v>
      </c>
      <c r="G57">
        <v>0</v>
      </c>
      <c r="H57">
        <v>20</v>
      </c>
      <c r="I57">
        <f t="shared" si="1"/>
        <v>11</v>
      </c>
      <c r="J57">
        <v>10</v>
      </c>
      <c r="K57">
        <v>15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8</v>
      </c>
      <c r="V57">
        <v>0</v>
      </c>
      <c r="W57">
        <v>0</v>
      </c>
      <c r="X57">
        <v>0</v>
      </c>
      <c r="Y57">
        <v>0</v>
      </c>
      <c r="Z57">
        <v>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35">
      <c r="A58" t="s">
        <v>7</v>
      </c>
      <c r="B58">
        <v>3</v>
      </c>
      <c r="C58" t="s">
        <v>2</v>
      </c>
      <c r="D58" t="s">
        <v>20</v>
      </c>
      <c r="E58">
        <v>0.12</v>
      </c>
      <c r="F58">
        <f t="shared" si="0"/>
        <v>0.1</v>
      </c>
      <c r="G58">
        <v>0</v>
      </c>
      <c r="H58">
        <v>20</v>
      </c>
      <c r="I58">
        <f t="shared" si="1"/>
        <v>2</v>
      </c>
      <c r="J58">
        <v>10</v>
      </c>
      <c r="K58">
        <v>15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 spans="1:56" x14ac:dyDescent="0.35">
      <c r="A59" t="s">
        <v>7</v>
      </c>
      <c r="B59">
        <v>3</v>
      </c>
      <c r="C59" t="s">
        <v>2</v>
      </c>
      <c r="D59" t="s">
        <v>22</v>
      </c>
      <c r="E59">
        <v>0.72</v>
      </c>
      <c r="F59">
        <f t="shared" si="0"/>
        <v>0.8</v>
      </c>
      <c r="G59">
        <v>0</v>
      </c>
      <c r="H59">
        <v>20</v>
      </c>
      <c r="I59">
        <f t="shared" si="1"/>
        <v>16</v>
      </c>
      <c r="J59">
        <v>10</v>
      </c>
      <c r="K59">
        <v>15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15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35">
      <c r="A60" t="s">
        <v>7</v>
      </c>
      <c r="B60">
        <v>3</v>
      </c>
      <c r="C60" t="s">
        <v>2</v>
      </c>
      <c r="D60" t="s">
        <v>44</v>
      </c>
      <c r="E60">
        <v>0.87</v>
      </c>
      <c r="F60">
        <f t="shared" si="0"/>
        <v>0.75</v>
      </c>
      <c r="G60">
        <v>0</v>
      </c>
      <c r="H60">
        <v>20</v>
      </c>
      <c r="I60">
        <f t="shared" si="1"/>
        <v>15</v>
      </c>
      <c r="J60">
        <v>8</v>
      </c>
      <c r="K60">
        <v>10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4</v>
      </c>
      <c r="T60">
        <v>0</v>
      </c>
      <c r="U60">
        <v>11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s="7" customFormat="1" x14ac:dyDescent="0.35">
      <c r="A61" t="s">
        <v>7</v>
      </c>
      <c r="B61">
        <v>3</v>
      </c>
      <c r="C61" t="s">
        <v>2</v>
      </c>
      <c r="D61" t="s">
        <v>34</v>
      </c>
      <c r="E61" s="5">
        <v>0.93</v>
      </c>
      <c r="F61">
        <f t="shared" si="0"/>
        <v>1</v>
      </c>
      <c r="G61">
        <v>0</v>
      </c>
      <c r="H61">
        <v>20</v>
      </c>
      <c r="I61">
        <f t="shared" si="1"/>
        <v>20</v>
      </c>
      <c r="J61">
        <v>10</v>
      </c>
      <c r="K61">
        <v>20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</v>
      </c>
      <c r="V61">
        <v>0</v>
      </c>
      <c r="W61">
        <v>0</v>
      </c>
      <c r="X61">
        <v>0</v>
      </c>
      <c r="Y61">
        <v>0</v>
      </c>
      <c r="Z61">
        <v>10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35">
      <c r="A62" t="s">
        <v>8</v>
      </c>
      <c r="B62">
        <v>3</v>
      </c>
      <c r="C62" t="s">
        <v>2</v>
      </c>
      <c r="D62" t="s">
        <v>24</v>
      </c>
      <c r="E62">
        <v>0.95</v>
      </c>
      <c r="F62">
        <f t="shared" si="0"/>
        <v>0.95</v>
      </c>
      <c r="G62">
        <v>0</v>
      </c>
      <c r="H62">
        <v>20</v>
      </c>
      <c r="I62">
        <f t="shared" si="1"/>
        <v>19</v>
      </c>
      <c r="J62">
        <v>10</v>
      </c>
      <c r="K62">
        <v>30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</v>
      </c>
      <c r="V62">
        <v>0</v>
      </c>
      <c r="W62">
        <v>0</v>
      </c>
      <c r="X62">
        <v>0</v>
      </c>
      <c r="Y62">
        <v>0</v>
      </c>
      <c r="Z62">
        <v>13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x14ac:dyDescent="0.35">
      <c r="A63" t="s">
        <v>8</v>
      </c>
      <c r="B63">
        <v>3</v>
      </c>
      <c r="C63" t="s">
        <v>2</v>
      </c>
      <c r="D63" t="s">
        <v>35</v>
      </c>
      <c r="E63">
        <v>0.79</v>
      </c>
      <c r="F63">
        <f t="shared" si="0"/>
        <v>0.75</v>
      </c>
      <c r="G63">
        <v>0</v>
      </c>
      <c r="H63">
        <v>20</v>
      </c>
      <c r="I63">
        <f t="shared" si="1"/>
        <v>15</v>
      </c>
      <c r="J63">
        <v>10</v>
      </c>
      <c r="K63">
        <v>30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8</v>
      </c>
      <c r="V63">
        <v>0</v>
      </c>
      <c r="W63">
        <v>0</v>
      </c>
      <c r="X63">
        <v>0</v>
      </c>
      <c r="Y63">
        <v>0</v>
      </c>
      <c r="Z63">
        <v>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35">
      <c r="A64" t="s">
        <v>8</v>
      </c>
      <c r="B64">
        <v>3</v>
      </c>
      <c r="C64" t="s">
        <v>2</v>
      </c>
      <c r="D64" t="s">
        <v>26</v>
      </c>
      <c r="E64">
        <v>0.99</v>
      </c>
      <c r="F64">
        <f t="shared" si="0"/>
        <v>0.95</v>
      </c>
      <c r="G64">
        <v>0</v>
      </c>
      <c r="H64">
        <v>20</v>
      </c>
      <c r="I64">
        <f t="shared" si="1"/>
        <v>19</v>
      </c>
      <c r="J64">
        <v>8</v>
      </c>
      <c r="K64">
        <v>15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</v>
      </c>
      <c r="T64">
        <v>0</v>
      </c>
      <c r="U64">
        <v>13</v>
      </c>
      <c r="V64">
        <v>0</v>
      </c>
      <c r="W64">
        <v>0</v>
      </c>
      <c r="X64">
        <v>0</v>
      </c>
      <c r="Y64">
        <v>0</v>
      </c>
      <c r="Z64">
        <v>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</row>
    <row r="65" spans="1:56" x14ac:dyDescent="0.35">
      <c r="A65" t="s">
        <v>8</v>
      </c>
      <c r="B65">
        <v>3</v>
      </c>
      <c r="C65" t="s">
        <v>2</v>
      </c>
      <c r="D65" t="s">
        <v>15</v>
      </c>
      <c r="E65">
        <v>0.94</v>
      </c>
      <c r="F65">
        <f t="shared" si="0"/>
        <v>0.9</v>
      </c>
      <c r="G65">
        <v>0</v>
      </c>
      <c r="H65">
        <v>20</v>
      </c>
      <c r="I65">
        <f t="shared" si="1"/>
        <v>18</v>
      </c>
      <c r="J65">
        <v>10</v>
      </c>
      <c r="K65">
        <v>15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11</v>
      </c>
      <c r="V65">
        <v>0</v>
      </c>
      <c r="W65">
        <v>0</v>
      </c>
      <c r="X65">
        <v>0</v>
      </c>
      <c r="Y65">
        <v>0</v>
      </c>
      <c r="Z65">
        <v>7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</row>
    <row r="66" spans="1:56" x14ac:dyDescent="0.35">
      <c r="A66" t="s">
        <v>8</v>
      </c>
      <c r="B66">
        <v>3</v>
      </c>
      <c r="C66" t="s">
        <v>2</v>
      </c>
      <c r="D66" t="s">
        <v>36</v>
      </c>
      <c r="E66">
        <v>0.96</v>
      </c>
      <c r="F66">
        <f t="shared" si="0"/>
        <v>0.75</v>
      </c>
      <c r="G66">
        <v>0</v>
      </c>
      <c r="H66">
        <v>20</v>
      </c>
      <c r="I66">
        <f t="shared" si="1"/>
        <v>15</v>
      </c>
      <c r="J66">
        <v>10</v>
      </c>
      <c r="K66">
        <v>20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12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35">
      <c r="A67" t="s">
        <v>8</v>
      </c>
      <c r="B67">
        <v>3</v>
      </c>
      <c r="C67" t="s">
        <v>2</v>
      </c>
      <c r="D67" t="s">
        <v>28</v>
      </c>
      <c r="E67">
        <v>0.91</v>
      </c>
      <c r="F67">
        <f t="shared" ref="F67:F91" si="2">(I67+G67)/20</f>
        <v>0.85</v>
      </c>
      <c r="G67">
        <v>0</v>
      </c>
      <c r="H67">
        <v>20</v>
      </c>
      <c r="I67">
        <f t="shared" ref="I67:I91" si="3">SUM(L67:AX67)</f>
        <v>17</v>
      </c>
      <c r="J67">
        <v>10</v>
      </c>
      <c r="K67">
        <v>15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</v>
      </c>
      <c r="V67">
        <v>0</v>
      </c>
      <c r="W67">
        <v>0</v>
      </c>
      <c r="X67">
        <v>0</v>
      </c>
      <c r="Y67">
        <v>0</v>
      </c>
      <c r="Z67">
        <v>11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</row>
    <row r="68" spans="1:56" x14ac:dyDescent="0.35">
      <c r="A68" t="s">
        <v>8</v>
      </c>
      <c r="B68">
        <v>3</v>
      </c>
      <c r="C68" t="s">
        <v>2</v>
      </c>
      <c r="D68" t="s">
        <v>18</v>
      </c>
      <c r="E68">
        <v>0.93</v>
      </c>
      <c r="F68">
        <f t="shared" si="2"/>
        <v>0.95</v>
      </c>
      <c r="G68">
        <v>0</v>
      </c>
      <c r="H68">
        <v>20</v>
      </c>
      <c r="I68">
        <f t="shared" si="3"/>
        <v>19</v>
      </c>
      <c r="J68">
        <v>8</v>
      </c>
      <c r="K68">
        <v>17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15</v>
      </c>
      <c r="T68">
        <v>0</v>
      </c>
      <c r="U68">
        <v>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35">
      <c r="A69" t="s">
        <v>8</v>
      </c>
      <c r="B69">
        <v>3</v>
      </c>
      <c r="C69" t="s">
        <v>2</v>
      </c>
      <c r="D69" t="s">
        <v>38</v>
      </c>
      <c r="E69">
        <v>0.92</v>
      </c>
      <c r="F69">
        <f t="shared" si="2"/>
        <v>1</v>
      </c>
      <c r="G69">
        <v>0</v>
      </c>
      <c r="H69">
        <v>20</v>
      </c>
      <c r="I69">
        <f t="shared" si="3"/>
        <v>20</v>
      </c>
      <c r="J69">
        <v>10</v>
      </c>
      <c r="K69">
        <v>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</v>
      </c>
      <c r="V69">
        <v>0</v>
      </c>
      <c r="W69">
        <v>0</v>
      </c>
      <c r="X69">
        <v>0</v>
      </c>
      <c r="Y69">
        <v>0</v>
      </c>
      <c r="Z69">
        <v>16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</row>
    <row r="70" spans="1:56" x14ac:dyDescent="0.35">
      <c r="A70" t="s">
        <v>8</v>
      </c>
      <c r="B70">
        <v>3</v>
      </c>
      <c r="C70" t="s">
        <v>2</v>
      </c>
      <c r="D70" t="s">
        <v>31</v>
      </c>
      <c r="E70">
        <v>0.95</v>
      </c>
      <c r="F70">
        <f t="shared" si="2"/>
        <v>0.9</v>
      </c>
      <c r="G70">
        <v>0</v>
      </c>
      <c r="H70">
        <v>20</v>
      </c>
      <c r="I70">
        <f t="shared" si="3"/>
        <v>18</v>
      </c>
      <c r="J70">
        <v>10</v>
      </c>
      <c r="K70">
        <v>15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15</v>
      </c>
      <c r="V70">
        <v>0</v>
      </c>
      <c r="W70">
        <v>0</v>
      </c>
      <c r="X70">
        <v>0</v>
      </c>
      <c r="Y70">
        <v>0</v>
      </c>
      <c r="Z70">
        <v>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</row>
    <row r="71" spans="1:56" x14ac:dyDescent="0.35">
      <c r="A71" t="s">
        <v>8</v>
      </c>
      <c r="B71">
        <v>3</v>
      </c>
      <c r="C71" t="s">
        <v>2</v>
      </c>
      <c r="D71" t="s">
        <v>12</v>
      </c>
      <c r="E71">
        <v>0.84</v>
      </c>
      <c r="F71">
        <f t="shared" si="2"/>
        <v>0.5</v>
      </c>
      <c r="G71">
        <v>0</v>
      </c>
      <c r="H71">
        <v>20</v>
      </c>
      <c r="I71">
        <f t="shared" si="3"/>
        <v>10</v>
      </c>
      <c r="J71">
        <v>10</v>
      </c>
      <c r="K71">
        <v>15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35">
      <c r="A72" t="s">
        <v>8</v>
      </c>
      <c r="B72">
        <v>3</v>
      </c>
      <c r="C72" t="s">
        <v>2</v>
      </c>
      <c r="D72" t="s">
        <v>42</v>
      </c>
      <c r="E72">
        <v>0.79</v>
      </c>
      <c r="F72">
        <f t="shared" si="2"/>
        <v>0.75</v>
      </c>
      <c r="G72">
        <v>0</v>
      </c>
      <c r="H72">
        <v>20</v>
      </c>
      <c r="I72">
        <f t="shared" si="3"/>
        <v>15</v>
      </c>
      <c r="J72">
        <v>8</v>
      </c>
      <c r="K72">
        <v>15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</v>
      </c>
      <c r="T72">
        <v>0</v>
      </c>
      <c r="U72">
        <v>9</v>
      </c>
      <c r="V72">
        <v>0</v>
      </c>
      <c r="W72">
        <v>0</v>
      </c>
      <c r="X72">
        <v>0</v>
      </c>
      <c r="Y72">
        <v>0</v>
      </c>
      <c r="Z72">
        <v>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x14ac:dyDescent="0.35">
      <c r="A73" t="s">
        <v>8</v>
      </c>
      <c r="B73">
        <v>3</v>
      </c>
      <c r="C73" t="s">
        <v>2</v>
      </c>
      <c r="D73" t="s">
        <v>21</v>
      </c>
      <c r="E73">
        <v>0.85</v>
      </c>
      <c r="F73">
        <f t="shared" si="2"/>
        <v>0.85</v>
      </c>
      <c r="G73">
        <v>0</v>
      </c>
      <c r="H73">
        <v>20</v>
      </c>
      <c r="I73">
        <f t="shared" si="3"/>
        <v>17</v>
      </c>
      <c r="J73">
        <v>8</v>
      </c>
      <c r="K73">
        <v>15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6</v>
      </c>
      <c r="T73">
        <v>0</v>
      </c>
      <c r="U73">
        <v>9</v>
      </c>
      <c r="V73">
        <v>0</v>
      </c>
      <c r="W73">
        <v>0</v>
      </c>
      <c r="X73">
        <v>0</v>
      </c>
      <c r="Y73">
        <v>0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56" x14ac:dyDescent="0.35">
      <c r="A74" t="s">
        <v>8</v>
      </c>
      <c r="B74">
        <v>3</v>
      </c>
      <c r="C74" t="s">
        <v>2</v>
      </c>
      <c r="D74" t="s">
        <v>33</v>
      </c>
      <c r="E74">
        <v>0.97</v>
      </c>
      <c r="F74">
        <f t="shared" si="2"/>
        <v>0.95</v>
      </c>
      <c r="G74">
        <v>0</v>
      </c>
      <c r="H74">
        <v>20</v>
      </c>
      <c r="I74">
        <f t="shared" si="3"/>
        <v>19</v>
      </c>
      <c r="J74">
        <v>8</v>
      </c>
      <c r="K74">
        <v>15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6</v>
      </c>
      <c r="T74">
        <v>0</v>
      </c>
      <c r="U74">
        <v>11</v>
      </c>
      <c r="V74">
        <v>0</v>
      </c>
      <c r="W74">
        <v>0</v>
      </c>
      <c r="X74">
        <v>0</v>
      </c>
      <c r="Y74">
        <v>0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</row>
    <row r="75" spans="1:56" x14ac:dyDescent="0.35">
      <c r="A75" t="s">
        <v>8</v>
      </c>
      <c r="B75">
        <v>3</v>
      </c>
      <c r="C75" t="s">
        <v>2</v>
      </c>
      <c r="D75" t="s">
        <v>34</v>
      </c>
      <c r="E75">
        <v>0.93</v>
      </c>
      <c r="F75">
        <f t="shared" si="2"/>
        <v>0.85</v>
      </c>
      <c r="G75">
        <v>0</v>
      </c>
      <c r="H75">
        <v>20</v>
      </c>
      <c r="I75">
        <f t="shared" si="3"/>
        <v>17</v>
      </c>
      <c r="J75">
        <v>10</v>
      </c>
      <c r="K75">
        <v>15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8</v>
      </c>
      <c r="V75">
        <v>0</v>
      </c>
      <c r="W75">
        <v>0</v>
      </c>
      <c r="X75">
        <v>0</v>
      </c>
      <c r="Y75">
        <v>0</v>
      </c>
      <c r="Z75">
        <v>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</row>
    <row r="76" spans="1:56" x14ac:dyDescent="0.35">
      <c r="A76" t="s">
        <v>8</v>
      </c>
      <c r="B76">
        <v>3</v>
      </c>
      <c r="C76" t="s">
        <v>2</v>
      </c>
      <c r="D76" t="s">
        <v>43</v>
      </c>
      <c r="E76" s="5">
        <v>0.88</v>
      </c>
      <c r="F76">
        <f t="shared" si="2"/>
        <v>0.9</v>
      </c>
      <c r="G76">
        <v>0</v>
      </c>
      <c r="H76">
        <v>20</v>
      </c>
      <c r="I76">
        <f t="shared" si="3"/>
        <v>18</v>
      </c>
      <c r="J76">
        <v>10</v>
      </c>
      <c r="K76">
        <v>15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</v>
      </c>
      <c r="V76">
        <v>0</v>
      </c>
      <c r="W76">
        <v>0</v>
      </c>
      <c r="X76">
        <v>0</v>
      </c>
      <c r="Y76">
        <v>0</v>
      </c>
      <c r="Z76">
        <v>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</row>
    <row r="77" spans="1:56" x14ac:dyDescent="0.35">
      <c r="A77" t="s">
        <v>9</v>
      </c>
      <c r="B77">
        <v>3</v>
      </c>
      <c r="C77" t="s">
        <v>2</v>
      </c>
      <c r="D77" t="s">
        <v>45</v>
      </c>
      <c r="E77">
        <v>0.92</v>
      </c>
      <c r="F77">
        <f t="shared" si="2"/>
        <v>0.85</v>
      </c>
      <c r="G77">
        <v>0</v>
      </c>
      <c r="H77">
        <v>20</v>
      </c>
      <c r="I77">
        <f t="shared" si="3"/>
        <v>17</v>
      </c>
      <c r="J77">
        <v>8</v>
      </c>
      <c r="K77">
        <v>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</v>
      </c>
      <c r="T77">
        <v>0</v>
      </c>
      <c r="U77">
        <v>10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35">
      <c r="A78" t="s">
        <v>9</v>
      </c>
      <c r="B78">
        <v>3</v>
      </c>
      <c r="C78" t="s">
        <v>2</v>
      </c>
      <c r="D78" t="s">
        <v>23</v>
      </c>
      <c r="E78">
        <v>1</v>
      </c>
      <c r="F78">
        <f t="shared" si="2"/>
        <v>0.95</v>
      </c>
      <c r="G78">
        <v>0</v>
      </c>
      <c r="H78">
        <v>20</v>
      </c>
      <c r="I78">
        <f t="shared" si="3"/>
        <v>19</v>
      </c>
      <c r="J78">
        <v>10</v>
      </c>
      <c r="K78">
        <v>22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15</v>
      </c>
      <c r="V78">
        <v>0</v>
      </c>
      <c r="W78">
        <v>0</v>
      </c>
      <c r="X78">
        <v>0</v>
      </c>
      <c r="Y78">
        <v>0</v>
      </c>
      <c r="Z78">
        <v>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35">
      <c r="A79" t="s">
        <v>9</v>
      </c>
      <c r="B79">
        <v>3</v>
      </c>
      <c r="C79" t="s">
        <v>2</v>
      </c>
      <c r="D79" t="s">
        <v>25</v>
      </c>
      <c r="E79">
        <v>0.67</v>
      </c>
      <c r="F79">
        <f t="shared" si="2"/>
        <v>0.85</v>
      </c>
      <c r="G79">
        <v>0</v>
      </c>
      <c r="H79">
        <v>20</v>
      </c>
      <c r="I79">
        <f t="shared" si="3"/>
        <v>17</v>
      </c>
      <c r="J79">
        <v>10</v>
      </c>
      <c r="K79">
        <v>15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14</v>
      </c>
      <c r="V79">
        <v>0</v>
      </c>
      <c r="W79">
        <v>0</v>
      </c>
      <c r="X79">
        <v>0</v>
      </c>
      <c r="Y79">
        <v>0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x14ac:dyDescent="0.35">
      <c r="A80" t="s">
        <v>9</v>
      </c>
      <c r="B80">
        <v>3</v>
      </c>
      <c r="C80" t="s">
        <v>2</v>
      </c>
      <c r="D80" t="s">
        <v>27</v>
      </c>
      <c r="E80">
        <v>0.89</v>
      </c>
      <c r="F80">
        <f t="shared" si="2"/>
        <v>0.9</v>
      </c>
      <c r="G80">
        <v>0</v>
      </c>
      <c r="H80">
        <v>20</v>
      </c>
      <c r="I80">
        <f t="shared" si="3"/>
        <v>18</v>
      </c>
      <c r="J80">
        <v>10</v>
      </c>
      <c r="K80">
        <v>15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17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35">
      <c r="A81" t="s">
        <v>9</v>
      </c>
      <c r="B81">
        <v>3</v>
      </c>
      <c r="C81" t="s">
        <v>2</v>
      </c>
      <c r="D81" t="s">
        <v>16</v>
      </c>
      <c r="E81">
        <v>0.78</v>
      </c>
      <c r="F81">
        <f t="shared" si="2"/>
        <v>0.85</v>
      </c>
      <c r="G81">
        <v>0</v>
      </c>
      <c r="H81">
        <v>20</v>
      </c>
      <c r="I81">
        <f t="shared" si="3"/>
        <v>17</v>
      </c>
      <c r="J81">
        <v>10</v>
      </c>
      <c r="K81">
        <v>20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</v>
      </c>
      <c r="V81">
        <v>0</v>
      </c>
      <c r="W81">
        <v>0</v>
      </c>
      <c r="X81">
        <v>0</v>
      </c>
      <c r="Y81">
        <v>0</v>
      </c>
      <c r="Z81">
        <v>9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35">
      <c r="A82" t="s">
        <v>9</v>
      </c>
      <c r="B82">
        <v>3</v>
      </c>
      <c r="C82" t="s">
        <v>2</v>
      </c>
      <c r="D82" t="s">
        <v>28</v>
      </c>
      <c r="E82">
        <v>0.91</v>
      </c>
      <c r="F82">
        <f t="shared" si="2"/>
        <v>0.75</v>
      </c>
      <c r="G82">
        <v>0</v>
      </c>
      <c r="H82">
        <v>20</v>
      </c>
      <c r="I82">
        <f t="shared" si="3"/>
        <v>15</v>
      </c>
      <c r="J82">
        <v>8</v>
      </c>
      <c r="K82">
        <v>15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</v>
      </c>
      <c r="T82">
        <v>0</v>
      </c>
      <c r="U82">
        <v>8</v>
      </c>
      <c r="V82">
        <v>0</v>
      </c>
      <c r="W82">
        <v>0</v>
      </c>
      <c r="X82">
        <v>0</v>
      </c>
      <c r="Y82">
        <v>0</v>
      </c>
      <c r="Z82">
        <v>3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 s="7" customFormat="1" x14ac:dyDescent="0.35">
      <c r="A83" t="s">
        <v>9</v>
      </c>
      <c r="B83">
        <v>3</v>
      </c>
      <c r="C83" t="s">
        <v>2</v>
      </c>
      <c r="D83" t="s">
        <v>17</v>
      </c>
      <c r="E83">
        <v>0.95</v>
      </c>
      <c r="F83">
        <f t="shared" si="2"/>
        <v>1</v>
      </c>
      <c r="G83">
        <v>0</v>
      </c>
      <c r="H83">
        <v>20</v>
      </c>
      <c r="I83">
        <f t="shared" si="3"/>
        <v>20</v>
      </c>
      <c r="J83">
        <v>8</v>
      </c>
      <c r="K83">
        <v>10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8</v>
      </c>
      <c r="T83">
        <v>0</v>
      </c>
      <c r="U83">
        <v>12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x14ac:dyDescent="0.35">
      <c r="A84" t="s">
        <v>9</v>
      </c>
      <c r="B84">
        <v>3</v>
      </c>
      <c r="C84" t="s">
        <v>2</v>
      </c>
      <c r="D84" t="s">
        <v>37</v>
      </c>
      <c r="E84">
        <v>0.95</v>
      </c>
      <c r="F84">
        <f t="shared" si="2"/>
        <v>0.8</v>
      </c>
      <c r="G84">
        <v>0</v>
      </c>
      <c r="H84">
        <v>20</v>
      </c>
      <c r="I84">
        <f t="shared" si="3"/>
        <v>16</v>
      </c>
      <c r="J84">
        <v>8</v>
      </c>
      <c r="K84">
        <v>15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</v>
      </c>
      <c r="T84">
        <v>0</v>
      </c>
      <c r="U84">
        <v>5</v>
      </c>
      <c r="V84">
        <v>0</v>
      </c>
      <c r="W84">
        <v>0</v>
      </c>
      <c r="X84">
        <v>0</v>
      </c>
      <c r="Y84">
        <v>0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35">
      <c r="A85" t="s">
        <v>9</v>
      </c>
      <c r="B85">
        <v>3</v>
      </c>
      <c r="C85" t="s">
        <v>2</v>
      </c>
      <c r="D85" t="s">
        <v>11</v>
      </c>
      <c r="E85">
        <v>0.75</v>
      </c>
      <c r="F85">
        <f t="shared" si="2"/>
        <v>0.9</v>
      </c>
      <c r="G85">
        <v>0</v>
      </c>
      <c r="H85">
        <v>20</v>
      </c>
      <c r="I85">
        <f t="shared" si="3"/>
        <v>18</v>
      </c>
      <c r="J85">
        <v>10</v>
      </c>
      <c r="K85">
        <v>15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7</v>
      </c>
      <c r="V85">
        <v>0</v>
      </c>
      <c r="W85">
        <v>0</v>
      </c>
      <c r="X85">
        <v>0</v>
      </c>
      <c r="Y85">
        <v>0</v>
      </c>
      <c r="Z85">
        <v>11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35">
      <c r="A86" t="s">
        <v>9</v>
      </c>
      <c r="B86">
        <v>3</v>
      </c>
      <c r="C86" t="s">
        <v>2</v>
      </c>
      <c r="D86" t="s">
        <v>32</v>
      </c>
      <c r="E86">
        <v>0.84</v>
      </c>
      <c r="F86">
        <f t="shared" si="2"/>
        <v>0.95</v>
      </c>
      <c r="G86">
        <v>0</v>
      </c>
      <c r="H86">
        <v>20</v>
      </c>
      <c r="I86">
        <f t="shared" si="3"/>
        <v>19</v>
      </c>
      <c r="J86">
        <v>10</v>
      </c>
      <c r="K86">
        <v>15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12</v>
      </c>
      <c r="V86">
        <v>0</v>
      </c>
      <c r="W86">
        <v>0</v>
      </c>
      <c r="X86">
        <v>0</v>
      </c>
      <c r="Y86">
        <v>0</v>
      </c>
      <c r="Z86">
        <v>7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</row>
    <row r="87" spans="1:56" s="7" customFormat="1" x14ac:dyDescent="0.35">
      <c r="A87" t="s">
        <v>9</v>
      </c>
      <c r="B87">
        <v>3</v>
      </c>
      <c r="C87" t="s">
        <v>2</v>
      </c>
      <c r="D87" t="s">
        <v>40</v>
      </c>
      <c r="E87">
        <v>0.96</v>
      </c>
      <c r="F87">
        <f t="shared" si="2"/>
        <v>1</v>
      </c>
      <c r="G87">
        <v>0</v>
      </c>
      <c r="H87">
        <v>20</v>
      </c>
      <c r="I87">
        <f t="shared" si="3"/>
        <v>20</v>
      </c>
      <c r="J87">
        <v>10</v>
      </c>
      <c r="K87">
        <v>17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17</v>
      </c>
      <c r="AA87">
        <v>0</v>
      </c>
      <c r="AB87">
        <v>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s="7" customFormat="1" x14ac:dyDescent="0.35">
      <c r="A88" t="s">
        <v>9</v>
      </c>
      <c r="B88">
        <v>3</v>
      </c>
      <c r="C88" t="s">
        <v>2</v>
      </c>
      <c r="D88" t="s">
        <v>46</v>
      </c>
      <c r="E88">
        <v>0.73</v>
      </c>
      <c r="F88">
        <f t="shared" si="2"/>
        <v>1</v>
      </c>
      <c r="G88">
        <v>0</v>
      </c>
      <c r="H88">
        <v>20</v>
      </c>
      <c r="I88">
        <f t="shared" si="3"/>
        <v>20</v>
      </c>
      <c r="J88">
        <v>10</v>
      </c>
      <c r="K88">
        <v>15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</v>
      </c>
      <c r="V88">
        <v>0</v>
      </c>
      <c r="W88">
        <v>0</v>
      </c>
      <c r="X88">
        <v>0</v>
      </c>
      <c r="Y88">
        <v>0</v>
      </c>
      <c r="Z88">
        <v>14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x14ac:dyDescent="0.35">
      <c r="A89" t="s">
        <v>9</v>
      </c>
      <c r="B89">
        <v>3</v>
      </c>
      <c r="C89" t="s">
        <v>2</v>
      </c>
      <c r="D89" t="s">
        <v>22</v>
      </c>
      <c r="E89">
        <v>0.72</v>
      </c>
      <c r="F89">
        <f t="shared" si="2"/>
        <v>0.75</v>
      </c>
      <c r="G89">
        <v>0</v>
      </c>
      <c r="H89">
        <v>20</v>
      </c>
      <c r="I89">
        <f t="shared" si="3"/>
        <v>15</v>
      </c>
      <c r="J89">
        <v>10</v>
      </c>
      <c r="K89">
        <v>15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13</v>
      </c>
      <c r="V89">
        <v>0</v>
      </c>
      <c r="W89">
        <v>0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</row>
    <row r="90" spans="1:56" x14ac:dyDescent="0.35">
      <c r="A90" t="s">
        <v>9</v>
      </c>
      <c r="B90">
        <v>3</v>
      </c>
      <c r="C90" t="s">
        <v>2</v>
      </c>
      <c r="D90" t="s">
        <v>33</v>
      </c>
      <c r="E90">
        <v>0.97</v>
      </c>
      <c r="F90">
        <f t="shared" si="2"/>
        <v>0.9</v>
      </c>
      <c r="G90">
        <v>0</v>
      </c>
      <c r="H90">
        <v>20</v>
      </c>
      <c r="I90">
        <f t="shared" si="3"/>
        <v>18</v>
      </c>
      <c r="J90">
        <v>10</v>
      </c>
      <c r="K90">
        <v>15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</v>
      </c>
      <c r="V90">
        <v>0</v>
      </c>
      <c r="W90">
        <v>0</v>
      </c>
      <c r="X90">
        <v>0</v>
      </c>
      <c r="Y90">
        <v>0</v>
      </c>
      <c r="Z90">
        <v>13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35">
      <c r="A91" t="s">
        <v>9</v>
      </c>
      <c r="B91">
        <v>3</v>
      </c>
      <c r="C91" t="s">
        <v>2</v>
      </c>
      <c r="D91" t="s">
        <v>44</v>
      </c>
      <c r="E91">
        <v>0.87</v>
      </c>
      <c r="F91">
        <f t="shared" si="2"/>
        <v>0.75</v>
      </c>
      <c r="G91">
        <v>0</v>
      </c>
      <c r="H91">
        <v>20</v>
      </c>
      <c r="I91">
        <f t="shared" si="3"/>
        <v>15</v>
      </c>
      <c r="J91">
        <v>10</v>
      </c>
      <c r="K91">
        <v>17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11</v>
      </c>
      <c r="V91">
        <v>0</v>
      </c>
      <c r="W91">
        <v>0</v>
      </c>
      <c r="X91">
        <v>0</v>
      </c>
      <c r="Y91">
        <v>0</v>
      </c>
      <c r="Z91">
        <v>2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DA1DE9-F79C-41FD-A83B-4DDA4C5C09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Torulosa_lowfire_S3</vt:lpstr>
      <vt:lpstr>Torulosa_highfire_S3</vt:lpstr>
      <vt:lpstr>Littoralis_S3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2024-07-03T06:24:44Z</dcterms:created>
  <dcterms:modified xsi:type="dcterms:W3CDTF">2024-10-14T00:08:50Z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2024-10-03T08:40:47Z</vt:lpwstr>
  </property>
  <property fmtid="{D5CDD505-2E9C-101B-9397-08002B2CF9AE}" pid="4" name="MSIP_Label_0f488380-630a-4f55-a077-a19445e3f360_Method">
    <vt:lpwstr>Privileged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84b9f2ab-d7b7-42d9-8971-590cb5e0338c</vt:lpwstr>
  </property>
  <property fmtid="{D5CDD505-2E9C-101B-9397-08002B2CF9AE}" pid="8" name="MSIP_Label_0f488380-630a-4f55-a077-a19445e3f360_ContentBits">
    <vt:lpwstr>0</vt:lpwstr>
  </property>
</Properties>
</file>